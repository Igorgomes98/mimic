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BBF7ED3C-128C-4D9D-B8BB-54E47578CD7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sto" sheetId="1" r:id="rId1"/>
    <sheet name="Vm" sheetId="2" r:id="rId2"/>
    <sheet name="Resumo " sheetId="3" r:id="rId3"/>
    <sheet name="Fin" sheetId="5" r:id="rId4"/>
    <sheet name="M Rici vend " sheetId="6" r:id="rId5"/>
  </sheets>
  <definedNames>
    <definedName name="_xlnm._FilterDatabase" localSheetId="2" hidden="1">'Resumo '!$A$4:$L$62</definedName>
    <definedName name="_xlnm._FilterDatabase" localSheetId="1" hidden="1">Vm!$A$1:$J$1237</definedName>
  </definedNames>
  <calcPr calcId="181029"/>
</workbook>
</file>

<file path=xl/calcChain.xml><?xml version="1.0" encoding="utf-8"?>
<calcChain xmlns="http://schemas.openxmlformats.org/spreadsheetml/2006/main">
  <c r="A15" i="5" l="1"/>
  <c r="E3" i="1" l="1"/>
  <c r="F3" i="1" s="1"/>
  <c r="E4" i="1"/>
  <c r="F4" i="1" s="1"/>
  <c r="E5" i="1"/>
  <c r="F5" i="1" s="1"/>
  <c r="E6" i="1"/>
  <c r="F6" i="1" s="1"/>
  <c r="E13" i="1"/>
  <c r="F13" i="1" s="1"/>
  <c r="E36" i="1"/>
  <c r="F36" i="1" s="1"/>
  <c r="E9" i="1"/>
  <c r="F9" i="1" s="1"/>
  <c r="E14" i="1"/>
  <c r="F14" i="1" s="1"/>
  <c r="E19" i="1"/>
  <c r="F19" i="1" s="1"/>
  <c r="E22" i="1"/>
  <c r="F22" i="1" s="1"/>
  <c r="E25" i="1"/>
  <c r="F25" i="1" s="1"/>
  <c r="E28" i="1"/>
  <c r="F28" i="1" s="1"/>
  <c r="E31" i="1"/>
  <c r="F31" i="1" s="1"/>
  <c r="E35" i="1"/>
  <c r="F35" i="1" s="1"/>
  <c r="E37" i="1"/>
  <c r="F37" i="1" s="1"/>
  <c r="E39" i="1"/>
  <c r="F39" i="1" s="1"/>
  <c r="E40" i="1"/>
  <c r="F40" i="1" s="1"/>
  <c r="E44" i="1"/>
  <c r="F44" i="1" s="1"/>
  <c r="E47" i="1"/>
  <c r="F47" i="1" s="1"/>
  <c r="E50" i="1"/>
  <c r="F50" i="1" s="1"/>
  <c r="E49" i="1"/>
  <c r="F49" i="1" s="1"/>
  <c r="E51" i="1"/>
  <c r="F51" i="1" s="1"/>
  <c r="E52" i="1"/>
  <c r="F52" i="1" s="1"/>
  <c r="E55" i="1"/>
  <c r="F55" i="1" s="1"/>
  <c r="E61" i="1"/>
  <c r="F61" i="1" s="1"/>
  <c r="E68" i="1"/>
  <c r="F68" i="1" s="1"/>
  <c r="E69" i="1"/>
  <c r="F69" i="1" s="1"/>
  <c r="E72" i="1"/>
  <c r="F72" i="1" s="1"/>
  <c r="E73" i="1"/>
  <c r="F73" i="1" s="1"/>
  <c r="E23" i="1"/>
  <c r="F23" i="1" s="1"/>
  <c r="E30" i="1"/>
  <c r="F30" i="1" s="1"/>
  <c r="E57" i="1"/>
  <c r="F57" i="1" s="1"/>
  <c r="E71" i="1"/>
  <c r="F71" i="1" s="1"/>
  <c r="E10" i="1"/>
  <c r="F10" i="1" s="1"/>
  <c r="E11" i="1"/>
  <c r="F11" i="1" s="1"/>
  <c r="E15" i="1"/>
  <c r="F15" i="1" s="1"/>
  <c r="E16" i="1"/>
  <c r="F16" i="1" s="1"/>
  <c r="E17" i="1"/>
  <c r="F17" i="1" s="1"/>
  <c r="E18" i="1"/>
  <c r="F18" i="1" s="1"/>
  <c r="E20" i="1"/>
  <c r="F20" i="1" s="1"/>
  <c r="E21" i="1"/>
  <c r="F21" i="1" s="1"/>
  <c r="E24" i="1"/>
  <c r="F24" i="1" s="1"/>
  <c r="E26" i="1"/>
  <c r="F26" i="1" s="1"/>
  <c r="E27" i="1"/>
  <c r="F27" i="1" s="1"/>
  <c r="E29" i="1"/>
  <c r="F29" i="1" s="1"/>
  <c r="E34" i="1"/>
  <c r="F34" i="1" s="1"/>
  <c r="E43" i="1"/>
  <c r="F43" i="1" s="1"/>
  <c r="E45" i="1"/>
  <c r="F45" i="1" s="1"/>
  <c r="E46" i="1"/>
  <c r="F46" i="1" s="1"/>
  <c r="E48" i="1"/>
  <c r="F48" i="1" s="1"/>
  <c r="E54" i="1"/>
  <c r="F54" i="1" s="1"/>
  <c r="E59" i="1"/>
  <c r="F59" i="1" s="1"/>
  <c r="E63" i="1"/>
  <c r="F63" i="1" s="1"/>
  <c r="E65" i="1"/>
  <c r="F65" i="1" s="1"/>
  <c r="E66" i="1"/>
  <c r="F66" i="1" s="1"/>
  <c r="E70" i="1"/>
  <c r="F70" i="1" s="1"/>
  <c r="E53" i="1"/>
  <c r="F53" i="1" s="1"/>
  <c r="E56" i="1"/>
  <c r="F56" i="1" s="1"/>
  <c r="E64" i="1"/>
  <c r="F64" i="1" s="1"/>
  <c r="E33" i="1"/>
  <c r="F33" i="1" s="1"/>
  <c r="E38" i="1"/>
  <c r="F38" i="1" s="1"/>
  <c r="E62" i="1"/>
  <c r="F62" i="1" s="1"/>
  <c r="E67" i="1"/>
  <c r="F67" i="1" s="1"/>
  <c r="E77" i="1"/>
  <c r="F77" i="1" s="1"/>
  <c r="E74" i="1"/>
  <c r="F74" i="1" s="1"/>
  <c r="E12" i="1"/>
  <c r="F12" i="1" s="1"/>
  <c r="E42" i="1"/>
  <c r="F42" i="1" s="1"/>
  <c r="E32" i="1"/>
  <c r="F32" i="1" s="1"/>
  <c r="E76" i="1"/>
  <c r="F76" i="1" s="1"/>
  <c r="E41" i="1"/>
  <c r="F41" i="1" s="1"/>
  <c r="E58" i="1"/>
  <c r="F58" i="1" s="1"/>
  <c r="E60" i="1"/>
  <c r="F60" i="1" s="1"/>
  <c r="E75" i="1"/>
  <c r="F75" i="1" s="1"/>
  <c r="E81" i="1"/>
  <c r="F81" i="1" s="1"/>
  <c r="E82" i="1"/>
  <c r="F82" i="1" s="1"/>
  <c r="E91" i="1"/>
  <c r="F91" i="1" s="1"/>
  <c r="E80" i="1"/>
  <c r="E83" i="1"/>
  <c r="F83" i="1" s="1"/>
  <c r="E84" i="1"/>
  <c r="F84" i="1" s="1"/>
  <c r="E85" i="1"/>
  <c r="F85" i="1" s="1"/>
  <c r="E87" i="1"/>
  <c r="F87" i="1" s="1"/>
  <c r="E88" i="1"/>
  <c r="F88" i="1" s="1"/>
  <c r="E90" i="1"/>
  <c r="F90" i="1" s="1"/>
  <c r="E92" i="1"/>
  <c r="F92" i="1" s="1"/>
  <c r="E93" i="1"/>
  <c r="F93" i="1" s="1"/>
  <c r="E94" i="1"/>
  <c r="F94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4" i="1"/>
  <c r="F104" i="1" s="1"/>
  <c r="E108" i="1"/>
  <c r="F108" i="1" s="1"/>
  <c r="E111" i="1"/>
  <c r="F111" i="1" s="1"/>
  <c r="E112" i="1"/>
  <c r="F112" i="1" s="1"/>
  <c r="E113" i="1"/>
  <c r="F113" i="1" s="1"/>
  <c r="E114" i="1"/>
  <c r="F114" i="1" s="1"/>
  <c r="E86" i="1"/>
  <c r="F86" i="1" s="1"/>
  <c r="E115" i="1"/>
  <c r="F115" i="1" s="1"/>
  <c r="E130" i="1"/>
  <c r="F130" i="1" s="1"/>
  <c r="E136" i="1"/>
  <c r="F136" i="1" s="1"/>
  <c r="E137" i="1"/>
  <c r="F137" i="1" s="1"/>
  <c r="E143" i="1"/>
  <c r="F143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1" i="1"/>
  <c r="F131" i="1" s="1"/>
  <c r="E132" i="1"/>
  <c r="F132" i="1" s="1"/>
  <c r="E133" i="1"/>
  <c r="F133" i="1" s="1"/>
  <c r="E134" i="1"/>
  <c r="F134" i="1" s="1"/>
  <c r="E135" i="1"/>
  <c r="F135" i="1" s="1"/>
  <c r="E138" i="1"/>
  <c r="F138" i="1" s="1"/>
  <c r="E140" i="1"/>
  <c r="F140" i="1" s="1"/>
  <c r="E141" i="1"/>
  <c r="F141" i="1" s="1"/>
  <c r="E142" i="1"/>
  <c r="F142" i="1" s="1"/>
  <c r="E103" i="1"/>
  <c r="F103" i="1" s="1"/>
  <c r="E105" i="1"/>
  <c r="F105" i="1" s="1"/>
  <c r="E139" i="1"/>
  <c r="F139" i="1" s="1"/>
  <c r="E89" i="1"/>
  <c r="F89" i="1" s="1"/>
  <c r="E146" i="1"/>
  <c r="F146" i="1" s="1"/>
  <c r="E109" i="1"/>
  <c r="F109" i="1" s="1"/>
  <c r="E110" i="1"/>
  <c r="F110" i="1" s="1"/>
  <c r="E145" i="1"/>
  <c r="F145" i="1" s="1"/>
  <c r="E96" i="1"/>
  <c r="F96" i="1" s="1"/>
  <c r="E144" i="1"/>
  <c r="F144" i="1" s="1"/>
  <c r="E95" i="1"/>
  <c r="F95" i="1" s="1"/>
  <c r="E106" i="1"/>
  <c r="F106" i="1" s="1"/>
  <c r="E107" i="1"/>
  <c r="F107" i="1" s="1"/>
  <c r="E116" i="1"/>
  <c r="F116" i="1" s="1"/>
  <c r="E149" i="1"/>
  <c r="E150" i="1"/>
  <c r="F150" i="1" s="1"/>
  <c r="E157" i="1"/>
  <c r="F157" i="1" s="1"/>
  <c r="E166" i="1"/>
  <c r="F166" i="1" s="1"/>
  <c r="E179" i="1"/>
  <c r="F179" i="1" s="1"/>
  <c r="E183" i="1"/>
  <c r="F183" i="1" s="1"/>
  <c r="E191" i="1"/>
  <c r="F191" i="1" s="1"/>
  <c r="E207" i="1"/>
  <c r="F207" i="1" s="1"/>
  <c r="E208" i="1"/>
  <c r="F208" i="1" s="1"/>
  <c r="E212" i="1"/>
  <c r="F212" i="1" s="1"/>
  <c r="E153" i="1"/>
  <c r="E158" i="1"/>
  <c r="F158" i="1" s="1"/>
  <c r="E163" i="1"/>
  <c r="F163" i="1" s="1"/>
  <c r="E169" i="1"/>
  <c r="F169" i="1" s="1"/>
  <c r="E172" i="1"/>
  <c r="F172" i="1" s="1"/>
  <c r="E175" i="1"/>
  <c r="F175" i="1" s="1"/>
  <c r="E178" i="1"/>
  <c r="F178" i="1" s="1"/>
  <c r="E182" i="1"/>
  <c r="F182" i="1" s="1"/>
  <c r="E186" i="1"/>
  <c r="F186" i="1" s="1"/>
  <c r="E189" i="1"/>
  <c r="F189" i="1" s="1"/>
  <c r="E192" i="1"/>
  <c r="F192" i="1" s="1"/>
  <c r="E193" i="1"/>
  <c r="F193" i="1" s="1"/>
  <c r="E194" i="1"/>
  <c r="F194" i="1" s="1"/>
  <c r="E196" i="1"/>
  <c r="F196" i="1" s="1"/>
  <c r="E200" i="1"/>
  <c r="F200" i="1" s="1"/>
  <c r="E211" i="1"/>
  <c r="F211" i="1" s="1"/>
  <c r="E174" i="1"/>
  <c r="F174" i="1" s="1"/>
  <c r="E177" i="1"/>
  <c r="F177" i="1" s="1"/>
  <c r="E185" i="1"/>
  <c r="F185" i="1" s="1"/>
  <c r="E187" i="1"/>
  <c r="F187" i="1" s="1"/>
  <c r="E198" i="1"/>
  <c r="F198" i="1" s="1"/>
  <c r="E199" i="1"/>
  <c r="F199" i="1" s="1"/>
  <c r="E205" i="1"/>
  <c r="F205" i="1" s="1"/>
  <c r="E210" i="1"/>
  <c r="F210" i="1" s="1"/>
  <c r="E154" i="1"/>
  <c r="F154" i="1" s="1"/>
  <c r="E155" i="1"/>
  <c r="F155" i="1" s="1"/>
  <c r="E159" i="1"/>
  <c r="F159" i="1" s="1"/>
  <c r="E160" i="1"/>
  <c r="F160" i="1" s="1"/>
  <c r="E161" i="1"/>
  <c r="F161" i="1" s="1"/>
  <c r="E162" i="1"/>
  <c r="F162" i="1" s="1"/>
  <c r="E164" i="1"/>
  <c r="E165" i="1"/>
  <c r="F165" i="1" s="1"/>
  <c r="E167" i="1"/>
  <c r="F167" i="1" s="1"/>
  <c r="E168" i="1"/>
  <c r="F168" i="1" s="1"/>
  <c r="E170" i="1"/>
  <c r="F170" i="1" s="1"/>
  <c r="E171" i="1"/>
  <c r="F171" i="1" s="1"/>
  <c r="E173" i="1"/>
  <c r="F173" i="1" s="1"/>
  <c r="E188" i="1"/>
  <c r="F188" i="1" s="1"/>
  <c r="E190" i="1"/>
  <c r="F190" i="1" s="1"/>
  <c r="E202" i="1"/>
  <c r="F202" i="1" s="1"/>
  <c r="E204" i="1"/>
  <c r="F204" i="1" s="1"/>
  <c r="E209" i="1"/>
  <c r="F209" i="1" s="1"/>
  <c r="E195" i="1"/>
  <c r="F195" i="1" s="1"/>
  <c r="E197" i="1"/>
  <c r="F197" i="1" s="1"/>
  <c r="E203" i="1"/>
  <c r="F203" i="1" s="1"/>
  <c r="E176" i="1"/>
  <c r="F176" i="1" s="1"/>
  <c r="E181" i="1"/>
  <c r="F181" i="1" s="1"/>
  <c r="E201" i="1"/>
  <c r="F201" i="1" s="1"/>
  <c r="E206" i="1"/>
  <c r="F206" i="1" s="1"/>
  <c r="E214" i="1"/>
  <c r="F214" i="1" s="1"/>
  <c r="E180" i="1"/>
  <c r="F180" i="1" s="1"/>
  <c r="E184" i="1"/>
  <c r="F184" i="1" s="1"/>
  <c r="E156" i="1"/>
  <c r="F156" i="1" s="1"/>
  <c r="E213" i="1"/>
  <c r="F213" i="1" s="1"/>
  <c r="F215" i="1"/>
  <c r="E218" i="1"/>
  <c r="F218" i="1" s="1"/>
  <c r="E220" i="1"/>
  <c r="F220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3" i="1"/>
  <c r="F233" i="1" s="1"/>
  <c r="E234" i="1"/>
  <c r="F234" i="1" s="1"/>
  <c r="E239" i="1"/>
  <c r="F239" i="1" s="1"/>
  <c r="E240" i="1"/>
  <c r="F240" i="1" s="1"/>
  <c r="E217" i="1"/>
  <c r="E219" i="1"/>
  <c r="F219" i="1" s="1"/>
  <c r="E221" i="1"/>
  <c r="F221" i="1" s="1"/>
  <c r="E222" i="1"/>
  <c r="F222" i="1" s="1"/>
  <c r="E223" i="1"/>
  <c r="F223" i="1" s="1"/>
  <c r="E224" i="1"/>
  <c r="F224" i="1" s="1"/>
  <c r="E232" i="1"/>
  <c r="F232" i="1" s="1"/>
  <c r="E236" i="1"/>
  <c r="F236" i="1" s="1"/>
  <c r="E238" i="1"/>
  <c r="F238" i="1" s="1"/>
  <c r="E235" i="1"/>
  <c r="F235" i="1" s="1"/>
  <c r="E241" i="1"/>
  <c r="F241" i="1" s="1"/>
  <c r="E237" i="1"/>
  <c r="F237" i="1" s="1"/>
  <c r="E2" i="1"/>
  <c r="F2" i="1" l="1"/>
  <c r="F217" i="1"/>
  <c r="F149" i="1"/>
  <c r="F153" i="1"/>
  <c r="F80" i="1"/>
  <c r="G2" i="5" l="1"/>
  <c r="F2" i="5" l="1"/>
  <c r="H2" i="5" l="1"/>
  <c r="K5" i="1"/>
  <c r="J7" i="1" l="1"/>
  <c r="J4" i="1"/>
  <c r="J3" i="1"/>
  <c r="J5" i="1"/>
  <c r="J6" i="1"/>
  <c r="J8" i="1"/>
  <c r="L6" i="1" l="1"/>
  <c r="L3" i="1"/>
  <c r="K4" i="1"/>
  <c r="K6" i="1"/>
  <c r="L4" i="1"/>
  <c r="K7" i="1"/>
  <c r="K3" i="1"/>
  <c r="K8" i="1"/>
  <c r="L8" i="1"/>
  <c r="L5" i="1" l="1"/>
  <c r="L7" i="1"/>
  <c r="B2" i="3" l="1"/>
  <c r="A9" i="5" s="1"/>
  <c r="A2" i="3"/>
  <c r="A3" i="5" s="1"/>
  <c r="A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</author>
  </authors>
  <commentList>
    <comment ref="L28" authorId="0" shapeId="0" xr:uid="{1E6FCF07-D78F-455A-BF45-1D5F65B6986F}">
      <text>
        <r>
          <rPr>
            <b/>
            <sz val="9"/>
            <color indexed="81"/>
            <rFont val="Segoe UI"/>
            <family val="2"/>
          </rPr>
          <t>Windows:</t>
        </r>
        <r>
          <rPr>
            <sz val="9"/>
            <color indexed="81"/>
            <rFont val="Segoe UI"/>
            <family val="2"/>
          </rPr>
          <t xml:space="preserve">
SALDO PAGOU A MAIS EM FEV 
</t>
        </r>
      </text>
    </comment>
  </commentList>
</comments>
</file>

<file path=xl/sharedStrings.xml><?xml version="1.0" encoding="utf-8"?>
<sst xmlns="http://schemas.openxmlformats.org/spreadsheetml/2006/main" count="2661" uniqueCount="595">
  <si>
    <t>Nome do Perfume</t>
  </si>
  <si>
    <t>Categoria</t>
  </si>
  <si>
    <t>Quantidade Vendida</t>
  </si>
  <si>
    <t>Mês/Ano</t>
  </si>
  <si>
    <t>Vendedor</t>
  </si>
  <si>
    <t>Valor Unitário</t>
  </si>
  <si>
    <t>Valor Total da Venda</t>
  </si>
  <si>
    <t>Total Vendido (R$)</t>
  </si>
  <si>
    <t>Brz Blossom</t>
  </si>
  <si>
    <t>Nectar Crystal</t>
  </si>
  <si>
    <t>Rubi</t>
  </si>
  <si>
    <t>Silver Z</t>
  </si>
  <si>
    <t>Sunshine</t>
  </si>
  <si>
    <t>BODYSPLASH</t>
  </si>
  <si>
    <t>Darion - 50 Ml</t>
  </si>
  <si>
    <t>Yria - 50 Ml</t>
  </si>
  <si>
    <t>Autêntica - 10 Ml</t>
  </si>
  <si>
    <t>Glow - 10 Ml</t>
  </si>
  <si>
    <t>2 Love - 10 Ml</t>
  </si>
  <si>
    <t>Beauty - 10 Ml</t>
  </si>
  <si>
    <t>Brz Blossom -10 Ml</t>
  </si>
  <si>
    <t>Brz Intense Woman -10 Ml</t>
  </si>
  <si>
    <t>Brz Woman - 10 Ml</t>
  </si>
  <si>
    <t>Luminous Girl (Nice Girl) - Perfume 28 Ml</t>
  </si>
  <si>
    <t>Miss - Perfume 28 Ml</t>
  </si>
  <si>
    <t>Sweet - Perfume 28 Ml</t>
  </si>
  <si>
    <t>Selvagem - Perfume 28 Ml</t>
  </si>
  <si>
    <t>Silver Z - Perfume 28 Ml</t>
  </si>
  <si>
    <t>Luminous Flowers - Perfume 100 Ml</t>
  </si>
  <si>
    <t>Brz Woman (121 Woman Brz) - Perfume 100 Ml</t>
  </si>
  <si>
    <t>121 Sexy - Hidratante</t>
  </si>
  <si>
    <t>Creta - Hidratante</t>
  </si>
  <si>
    <t>Five Z - Hidratante</t>
  </si>
  <si>
    <t>Gold Woman - Hidratante</t>
  </si>
  <si>
    <t>La Vie Est Amour - Hidratante</t>
  </si>
  <si>
    <t>Love It - Hidratante</t>
  </si>
  <si>
    <t>Lys - Hidratante</t>
  </si>
  <si>
    <t>Magic - Hidratante</t>
  </si>
  <si>
    <t>Nice Girl - Hidratante</t>
  </si>
  <si>
    <t>Revolution - Hidratante</t>
  </si>
  <si>
    <t>Tresor - Hidratante</t>
  </si>
  <si>
    <t>Unique - Hidratante</t>
  </si>
  <si>
    <t>121 Men Brz - Hidratante</t>
  </si>
  <si>
    <t>121 Vip Black - Hidratante</t>
  </si>
  <si>
    <t>Blue De Zyone - Hidratante</t>
  </si>
  <si>
    <t>Bravus - Hidratante</t>
  </si>
  <si>
    <t>Champion - Hidratante</t>
  </si>
  <si>
    <t>Charmy - Hidratante</t>
  </si>
  <si>
    <t>Mb. Endless - Hidratante</t>
  </si>
  <si>
    <t>Silver Z - Hidratante</t>
  </si>
  <si>
    <t xml:space="preserve">Hidratante </t>
  </si>
  <si>
    <t xml:space="preserve">100ML </t>
  </si>
  <si>
    <t>28ML</t>
  </si>
  <si>
    <t>10ML</t>
  </si>
  <si>
    <t>B00001</t>
  </si>
  <si>
    <t>B00002</t>
  </si>
  <si>
    <t>B00003</t>
  </si>
  <si>
    <t>B00004</t>
  </si>
  <si>
    <t>B00005</t>
  </si>
  <si>
    <t>P05001</t>
  </si>
  <si>
    <t>P05002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</si>
  <si>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</si>
  <si>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</si>
  <si>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</si>
  <si>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</si>
  <si>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</si>
  <si>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</si>
  <si>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</si>
  <si>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</si>
  <si>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</si>
  <si>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</si>
  <si>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</si>
  <si>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</si>
  <si>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</si>
  <si>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</si>
  <si>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</si>
  <si>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</si>
  <si>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</si>
  <si>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</si>
  <si>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</si>
  <si>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</si>
  <si>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</si>
  <si>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</si>
  <si>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</si>
  <si>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</si>
  <si>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</si>
  <si>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</si>
  <si>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</si>
  <si>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</si>
  <si>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</si>
  <si>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</si>
  <si>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</si>
  <si>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</si>
  <si>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</si>
  <si>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</si>
  <si>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</si>
  <si>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</si>
  <si>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</si>
  <si>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</si>
  <si>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</si>
  <si>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</si>
  <si>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</si>
  <si>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</si>
  <si>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</si>
  <si>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</si>
  <si>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</si>
  <si>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</si>
  <si>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</si>
  <si>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</si>
  <si>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</si>
  <si>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</si>
  <si>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</si>
  <si>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</si>
  <si>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</si>
  <si>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</si>
  <si>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</si>
  <si>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</si>
  <si>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</si>
  <si>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</si>
  <si>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</si>
  <si>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</si>
  <si>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</si>
  <si>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</si>
  <si>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</si>
  <si>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</si>
  <si>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</si>
  <si>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</si>
  <si>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</si>
  <si>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</si>
  <si>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</si>
  <si>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</si>
  <si>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</si>
  <si>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</si>
  <si>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</si>
  <si>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</si>
  <si>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</si>
  <si>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</si>
  <si>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</si>
  <si>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</si>
  <si>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</si>
  <si>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</si>
  <si>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</si>
  <si>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</si>
  <si>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</si>
  <si>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</si>
  <si>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</si>
  <si>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</si>
  <si>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</si>
  <si>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</si>
  <si>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</si>
  <si>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</si>
  <si>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</si>
  <si>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</si>
  <si>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</si>
  <si>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</si>
  <si>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</si>
  <si>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</si>
  <si>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</si>
  <si>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</si>
  <si>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</si>
  <si>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</si>
  <si>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</si>
  <si>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</si>
  <si>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</si>
  <si>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</si>
  <si>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</si>
  <si>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</si>
  <si>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</si>
  <si>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</si>
  <si>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</si>
  <si>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</si>
  <si>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</si>
  <si>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</si>
  <si>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</si>
  <si>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</si>
  <si>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</si>
  <si>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</si>
  <si>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</si>
  <si>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</si>
  <si>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</si>
  <si>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</si>
  <si>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</si>
  <si>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</si>
  <si>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</si>
  <si>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</si>
  <si>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</si>
  <si>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</si>
  <si>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</si>
  <si>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</si>
  <si>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</si>
  <si>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</si>
  <si>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</si>
  <si>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</si>
  <si>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</si>
  <si>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</si>
  <si>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</si>
  <si>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</si>
  <si>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</si>
  <si>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</si>
  <si>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</si>
  <si>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</si>
  <si>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</si>
  <si>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</si>
  <si>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</si>
  <si>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</si>
  <si>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</si>
  <si>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</si>
  <si>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</si>
  <si>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</si>
  <si>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</si>
  <si>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</si>
  <si>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</si>
  <si>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</si>
  <si>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</si>
  <si>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</si>
  <si>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</si>
  <si>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</si>
  <si>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</si>
  <si>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</si>
  <si>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</si>
  <si>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</si>
  <si>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</si>
  <si>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</si>
  <si>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</si>
  <si>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</si>
  <si>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</si>
  <si>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</si>
  <si>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</si>
  <si>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</si>
  <si>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</si>
  <si>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</si>
  <si>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</si>
  <si>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</si>
  <si>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</si>
  <si>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</si>
  <si>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</si>
  <si>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</si>
  <si>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</si>
  <si>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</si>
  <si>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H00001</t>
  </si>
  <si>
    <t>H00002</t>
  </si>
  <si>
    <t>H00003</t>
  </si>
  <si>
    <t>H00004</t>
  </si>
  <si>
    <t>H00005</t>
  </si>
  <si>
    <t>H00006</t>
  </si>
  <si>
    <t>H00007</t>
  </si>
  <si>
    <t>H00008</t>
  </si>
  <si>
    <t>H00009</t>
  </si>
  <si>
    <t>H00010</t>
  </si>
  <si>
    <t>H00011</t>
  </si>
  <si>
    <t>H00012</t>
  </si>
  <si>
    <t>H00013</t>
  </si>
  <si>
    <t>H00014</t>
  </si>
  <si>
    <t>H00015</t>
  </si>
  <si>
    <t>H00016</t>
  </si>
  <si>
    <t>H00017</t>
  </si>
  <si>
    <t>H00018</t>
  </si>
  <si>
    <t>H00019</t>
  </si>
  <si>
    <t>H00020</t>
  </si>
  <si>
    <t>H00021</t>
  </si>
  <si>
    <t xml:space="preserve">Código </t>
  </si>
  <si>
    <t>Rubi-Hidratante</t>
  </si>
  <si>
    <t>Zayan-Hidratante</t>
  </si>
  <si>
    <t>Sunshine- Hidratante</t>
  </si>
  <si>
    <t>Sweet Class- Hidrante</t>
  </si>
  <si>
    <t>H00022</t>
  </si>
  <si>
    <t>H00023</t>
  </si>
  <si>
    <t>H00024</t>
  </si>
  <si>
    <t>H00025</t>
  </si>
  <si>
    <t>P02800</t>
  </si>
  <si>
    <t>P10062</t>
  </si>
  <si>
    <t>P02862</t>
  </si>
  <si>
    <t>P02864</t>
  </si>
  <si>
    <t>P01061</t>
  </si>
  <si>
    <t>P01063</t>
  </si>
  <si>
    <t>Aurarose-10Ml</t>
  </si>
  <si>
    <t>P01064</t>
  </si>
  <si>
    <t>Isis-10Ml</t>
  </si>
  <si>
    <t>P01065</t>
  </si>
  <si>
    <t>Darion-10Ml</t>
  </si>
  <si>
    <t>P01066</t>
  </si>
  <si>
    <t>Yria-10Ml</t>
  </si>
  <si>
    <t xml:space="preserve">28ml </t>
  </si>
  <si>
    <t>Data</t>
  </si>
  <si>
    <t xml:space="preserve">Cliente </t>
  </si>
  <si>
    <t xml:space="preserve">Telefone </t>
  </si>
  <si>
    <t xml:space="preserve">Nome </t>
  </si>
  <si>
    <t xml:space="preserve">Valor </t>
  </si>
  <si>
    <t>Valor Total</t>
  </si>
  <si>
    <t xml:space="preserve">Situação </t>
  </si>
  <si>
    <t xml:space="preserve">10ml </t>
  </si>
  <si>
    <t>50ml</t>
  </si>
  <si>
    <t xml:space="preserve">hidratante </t>
  </si>
  <si>
    <t xml:space="preserve">Valor de custo/ empresa </t>
  </si>
  <si>
    <t>Quantidade</t>
  </si>
  <si>
    <t xml:space="preserve">Produto </t>
  </si>
  <si>
    <t>Bodysplash</t>
  </si>
  <si>
    <t xml:space="preserve">total </t>
  </si>
  <si>
    <t>bodysplah</t>
  </si>
  <si>
    <t>100ml</t>
  </si>
  <si>
    <t>Inicio</t>
  </si>
  <si>
    <t xml:space="preserve">Atual </t>
  </si>
  <si>
    <t xml:space="preserve">10ML </t>
  </si>
  <si>
    <t xml:space="preserve">28ML </t>
  </si>
  <si>
    <t xml:space="preserve">50ML </t>
  </si>
  <si>
    <t xml:space="preserve">Vendida </t>
  </si>
  <si>
    <t xml:space="preserve">Nascimento </t>
  </si>
  <si>
    <t>Custo</t>
  </si>
  <si>
    <t>lucro</t>
  </si>
  <si>
    <t>P10063</t>
  </si>
  <si>
    <t>P10064</t>
  </si>
  <si>
    <t>P10065</t>
  </si>
  <si>
    <t>P02865</t>
  </si>
  <si>
    <t>P02866</t>
  </si>
  <si>
    <t>P02867</t>
  </si>
  <si>
    <t>P02868</t>
  </si>
  <si>
    <t xml:space="preserve">Total pago </t>
  </si>
  <si>
    <t>Total</t>
  </si>
  <si>
    <t>Total devendo</t>
  </si>
  <si>
    <r>
      <rPr>
        <sz val="16"/>
        <color theme="1"/>
        <rFont val="Calibri"/>
        <family val="2"/>
        <scheme val="minor"/>
      </rPr>
      <t xml:space="preserve">Ganho Total </t>
    </r>
    <r>
      <rPr>
        <b/>
        <sz val="16"/>
        <color theme="1"/>
        <rFont val="Calibri"/>
        <family val="2"/>
        <scheme val="minor"/>
      </rPr>
      <t xml:space="preserve"> </t>
    </r>
  </si>
  <si>
    <t>Matheus Rici Lucro</t>
  </si>
  <si>
    <t>P01067</t>
  </si>
  <si>
    <t>P01068</t>
  </si>
  <si>
    <t>P01069</t>
  </si>
  <si>
    <t>P01070</t>
  </si>
  <si>
    <t>Pago</t>
  </si>
  <si>
    <t xml:space="preserve">GANHO MENSAL + DIVIDA </t>
  </si>
  <si>
    <t>Ganho mensal</t>
  </si>
  <si>
    <t>Ganho sem vp</t>
  </si>
  <si>
    <t>Nome</t>
  </si>
  <si>
    <t xml:space="preserve">DIVIDA devendo </t>
  </si>
  <si>
    <t>GANHOU ESSE MÊS + DIVIDAS PAGAS</t>
  </si>
  <si>
    <t>Vendido</t>
  </si>
  <si>
    <t>Leo Souza</t>
  </si>
  <si>
    <t>Tuberose Shine - 28 Ml</t>
  </si>
  <si>
    <t>Tuberose Shine -  28 Ml</t>
  </si>
  <si>
    <t>Tresor - 28 Ml</t>
  </si>
  <si>
    <t>Sweet Blue -  28 Ml</t>
  </si>
  <si>
    <t>Junin ( Paulo Cesar)</t>
  </si>
  <si>
    <t>Boss Man - Perfume 100 ML</t>
  </si>
  <si>
    <t>Alberto Henrique</t>
  </si>
  <si>
    <t>Cintilante -  10 Ml</t>
  </si>
  <si>
    <t>Creta -  10 Ml</t>
  </si>
  <si>
    <t>Five Z -  10 Ml</t>
  </si>
  <si>
    <t>Gold Woman -  10 Ml</t>
  </si>
  <si>
    <t>Gs -  10 Ml</t>
  </si>
  <si>
    <t>Honey -  10 Ml</t>
  </si>
  <si>
    <t>La Vie Est Amour -  10 Ml</t>
  </si>
  <si>
    <t>Love It -  10 Ml</t>
  </si>
  <si>
    <t>Luminous Flowers -  10 Ml</t>
  </si>
  <si>
    <t>Lys -  10 Ml</t>
  </si>
  <si>
    <t>Magic -  10 Ml</t>
  </si>
  <si>
    <t>Miss -  10 Ml</t>
  </si>
  <si>
    <t>Revolution -  10 Ml</t>
  </si>
  <si>
    <t>Sweet -  10 Ml</t>
  </si>
  <si>
    <t>Sweet Blue -  10 Ml</t>
  </si>
  <si>
    <t>Tresor -  10 Ml</t>
  </si>
  <si>
    <t>Tuberose Shine -  10 Ml</t>
  </si>
  <si>
    <t>Brz Men - 10 Ml</t>
  </si>
  <si>
    <t>Conquest -  10 Ml</t>
  </si>
  <si>
    <t>Yuri Origem</t>
  </si>
  <si>
    <t>Verão-  10ML</t>
  </si>
  <si>
    <t>Primavera-  10ML</t>
  </si>
  <si>
    <t>Outono-  10ML</t>
  </si>
  <si>
    <t>Inverno- 10ML</t>
  </si>
  <si>
    <t>Valien- 10Ml</t>
  </si>
  <si>
    <t>Zayan -  10 Ml</t>
  </si>
  <si>
    <t>Sunshine -  10 Ml</t>
  </si>
  <si>
    <t>Rubi -  10 Ml</t>
  </si>
  <si>
    <t>Golden Arabian -  10 Ml</t>
  </si>
  <si>
    <t>Dunes -  10 Ml</t>
  </si>
  <si>
    <t>Sharif -  10 Ml</t>
  </si>
  <si>
    <t>Naiad -  10 Ml</t>
  </si>
  <si>
    <t>Malirah -  10 Ml</t>
  </si>
  <si>
    <t>Sweet Class -  10 Ml</t>
  </si>
  <si>
    <t>Strong -  10 Ml</t>
  </si>
  <si>
    <t>Silver Z -  10 Ml</t>
  </si>
  <si>
    <t>Selvagem -  10 Ml</t>
  </si>
  <si>
    <t>Personal Z -  10 Ml</t>
  </si>
  <si>
    <t>Mb. Endless -  10 Ml</t>
  </si>
  <si>
    <t>Loyal -  10 Ml</t>
  </si>
  <si>
    <t>Lord Green -  10 Ml</t>
  </si>
  <si>
    <t>Lord -  10 Ml</t>
  </si>
  <si>
    <t>Jump! -  10 Ml</t>
  </si>
  <si>
    <t>Elegante Sport - 10 Ml</t>
  </si>
  <si>
    <t>Code Man -  10 Ml</t>
  </si>
  <si>
    <t>Charmy -  10 Ml</t>
  </si>
  <si>
    <t>Champion -  10 Ml</t>
  </si>
  <si>
    <t>Brz Dark -  10 Ml</t>
  </si>
  <si>
    <t>Brz Intense Men  - 10 Ml</t>
  </si>
  <si>
    <t>Brz Urban  -  10 Ml</t>
  </si>
  <si>
    <t>Bravus -  10 Ml</t>
  </si>
  <si>
    <t>Boss Man -  10 Ml</t>
  </si>
  <si>
    <t>Noble -  10 Ml</t>
  </si>
  <si>
    <t>Tauren -  10 Ml</t>
  </si>
  <si>
    <t>Ahazzo -  10 Ml</t>
  </si>
  <si>
    <t>Animalz -  10 Ml</t>
  </si>
  <si>
    <t>Black Horse -  10 Ml</t>
  </si>
  <si>
    <t>Blue De Zyone -  10 Ml</t>
  </si>
  <si>
    <t>Luminous Girl  -  10 Ml</t>
  </si>
  <si>
    <t>Aurarose-  28 Ml</t>
  </si>
  <si>
    <t>Autêntica -  28 Ml</t>
  </si>
  <si>
    <t>Glow -  28 Ml</t>
  </si>
  <si>
    <t>2 Love -  28 Ml</t>
  </si>
  <si>
    <t>Beauty -  28 Ml</t>
  </si>
  <si>
    <t>Brz Blossom-  28 Ml</t>
  </si>
  <si>
    <t>Brz Intense Woman-  28 Ml</t>
  </si>
  <si>
    <t>Cintilante -  28 Ml</t>
  </si>
  <si>
    <t>Creta -  28 Ml</t>
  </si>
  <si>
    <t>Five Z -  28 Ml</t>
  </si>
  <si>
    <t>Gold Woman - 28 Ml</t>
  </si>
  <si>
    <t>Gs -  28 Ml</t>
  </si>
  <si>
    <t>Honey -  28 Ml</t>
  </si>
  <si>
    <t>La Vie Est Amour -  28 Ml</t>
  </si>
  <si>
    <t>Love It -  28 Ml</t>
  </si>
  <si>
    <t>Luminous Flowers -  28 Ml</t>
  </si>
  <si>
    <t>Luminous Girl - 28 Ml</t>
  </si>
  <si>
    <t>Lys -  28 Ml</t>
  </si>
  <si>
    <t>Magic -  28 Ml</t>
  </si>
  <si>
    <t>Revolution -  28 Ml</t>
  </si>
  <si>
    <t>Miss -  28 Ml</t>
  </si>
  <si>
    <t>Brz Woman - 28 Ml</t>
  </si>
  <si>
    <t>Unique -  28 Ml</t>
  </si>
  <si>
    <t>Conquest - 28 Ml</t>
  </si>
  <si>
    <t>Noble -  28 Ml</t>
  </si>
  <si>
    <t>Personal Z -  28 Ml</t>
  </si>
  <si>
    <t>Tauren -  28 Ml</t>
  </si>
  <si>
    <t>Ahazzo -  28 Ml</t>
  </si>
  <si>
    <t>Animalz -  28 Ml</t>
  </si>
  <si>
    <t>Black Horse -  28 Ml</t>
  </si>
  <si>
    <t>Blue De Zyone -  28 Ml</t>
  </si>
  <si>
    <t>Boss Man -  28 Ml</t>
  </si>
  <si>
    <t>Bravus -  28 Ml</t>
  </si>
  <si>
    <t>Brz Dark - 28 Ml</t>
  </si>
  <si>
    <t>Brz Intense Men - 28 Ml</t>
  </si>
  <si>
    <t>Brz Men - 28 Ml</t>
  </si>
  <si>
    <t>Brz Urban - 28 Ml</t>
  </si>
  <si>
    <t>Champion - 28 Ml</t>
  </si>
  <si>
    <t>Charmy -  28 Ml</t>
  </si>
  <si>
    <t>Code Man - 28 Ml</t>
  </si>
  <si>
    <t>Elegante Sport -  28 Ml</t>
  </si>
  <si>
    <t>Jump! -  28 Ml</t>
  </si>
  <si>
    <t>Lord -  28 Ml</t>
  </si>
  <si>
    <t>Lord Green -  28 Ml</t>
  </si>
  <si>
    <t>Loyal -  28 Ml</t>
  </si>
  <si>
    <t>Selvagem - 28 Ml</t>
  </si>
  <si>
    <t>Silver Z -  28 Ml</t>
  </si>
  <si>
    <t>Strong -  28 Ml</t>
  </si>
  <si>
    <t>Sweet Class - 28 Ml</t>
  </si>
  <si>
    <t>Malirah -  28 Ml</t>
  </si>
  <si>
    <t>Naiad -  28 Ml</t>
  </si>
  <si>
    <t>Sharif -  28 Ml</t>
  </si>
  <si>
    <t>Dunes -  28 Ml</t>
  </si>
  <si>
    <t>Golden Arabian -  28 Ml</t>
  </si>
  <si>
    <t>Rubi -  28 Ml</t>
  </si>
  <si>
    <t>Sunshine -  28 Ml</t>
  </si>
  <si>
    <t>Zayan -  28 Ml</t>
  </si>
  <si>
    <t>Isis- 28Ml</t>
  </si>
  <si>
    <t>Valien- 28Ml</t>
  </si>
  <si>
    <t>Inverno- 28Ml</t>
  </si>
  <si>
    <t>Outono- 28Ml</t>
  </si>
  <si>
    <t>Primavera- 28Ml</t>
  </si>
  <si>
    <t>Verão- 28Ml</t>
  </si>
  <si>
    <t>Autêntica -  100 Ml</t>
  </si>
  <si>
    <t>Brz Intense Woman - 100 Ml</t>
  </si>
  <si>
    <t>Glow -  100 Ml</t>
  </si>
  <si>
    <t>Honey -  100 Ml</t>
  </si>
  <si>
    <t>Luminous Flowers - 100 Ml</t>
  </si>
  <si>
    <t>Sweet -  100 Ml</t>
  </si>
  <si>
    <t>Sweet Blue -  100 Ml</t>
  </si>
  <si>
    <t>Tuberose Shine -  100 Ml</t>
  </si>
  <si>
    <t>2 Love -  100 Ml</t>
  </si>
  <si>
    <t>Beauty -  100 Ml</t>
  </si>
  <si>
    <t>Brz Blossom - 100 Ml</t>
  </si>
  <si>
    <t>Brz Woman - 100 Ml</t>
  </si>
  <si>
    <t>Cintilante -  100 Ml</t>
  </si>
  <si>
    <t>Creta -  100 Ml</t>
  </si>
  <si>
    <t>Five Z -  100 Ml</t>
  </si>
  <si>
    <t>Gs -  100 Ml</t>
  </si>
  <si>
    <t>La Vie Est Amour -  100 Ml</t>
  </si>
  <si>
    <t>Love It -  100 Ml</t>
  </si>
  <si>
    <t>Luminous Girl - 100 Ml</t>
  </si>
  <si>
    <t>Lys -  100 Ml</t>
  </si>
  <si>
    <t>Magic -  100 Ml</t>
  </si>
  <si>
    <t>Miss -  100 Ml</t>
  </si>
  <si>
    <t>Revolution -  100 Ml</t>
  </si>
  <si>
    <t>Tresor -  100 Ml</t>
  </si>
  <si>
    <t>Conquest -  100 Ml</t>
  </si>
  <si>
    <t>Elegante Sport -  100 Ml</t>
  </si>
  <si>
    <t>Jump -  100 Ml</t>
  </si>
  <si>
    <t>Lord -  100 Ml</t>
  </si>
  <si>
    <t>Noble - 100 Ml</t>
  </si>
  <si>
    <t>Personal Z -  100 Ml</t>
  </si>
  <si>
    <t>Strong -  100 Ml</t>
  </si>
  <si>
    <t>Tauren -  100 Ml</t>
  </si>
  <si>
    <t>Ahazzo -  100 Ml</t>
  </si>
  <si>
    <t>Animalz -  100 Ml</t>
  </si>
  <si>
    <t>Black Horse -  100 Ml</t>
  </si>
  <si>
    <t>Blue De Zyone -  100 Ml</t>
  </si>
  <si>
    <t>Boss Man -  100 ML</t>
  </si>
  <si>
    <t>Bravus -  100 Ml</t>
  </si>
  <si>
    <t>Brz Dark - 100 Ml</t>
  </si>
  <si>
    <t>Brz Intense Men- 100 Ml</t>
  </si>
  <si>
    <t>Brz Men -100 Ml</t>
  </si>
  <si>
    <t>Brz Urban - 100 Ml</t>
  </si>
  <si>
    <t>Champion -  100 Ml</t>
  </si>
  <si>
    <t>Charmy -  100 Ml</t>
  </si>
  <si>
    <t>Code Man -  100 M</t>
  </si>
  <si>
    <t>Lord Green -  100 Ml</t>
  </si>
  <si>
    <t>Loyal -  100 Ml</t>
  </si>
  <si>
    <t>Selvagem -  100 Ml</t>
  </si>
  <si>
    <t>Silver Z -  100 Ml</t>
  </si>
  <si>
    <t>Sweet Class -  100 Ml</t>
  </si>
  <si>
    <t>Malirah -  100 Ml</t>
  </si>
  <si>
    <t>Naiad -  100 Ml</t>
  </si>
  <si>
    <t>Sharif -  100 Ml</t>
  </si>
  <si>
    <t>Dunes -  100 Ml</t>
  </si>
  <si>
    <t>Golden Arabian -  100 Ml</t>
  </si>
  <si>
    <t>Rubi -  100 Ml</t>
  </si>
  <si>
    <t>Sunshine -  100 Ml</t>
  </si>
  <si>
    <t>Zayan -  100 Ml</t>
  </si>
  <si>
    <t>Gold Woman -  100 Ml</t>
  </si>
  <si>
    <t>Isis- 100 Ml</t>
  </si>
  <si>
    <t>Aura Rose-  100Ml</t>
  </si>
  <si>
    <t>Valien-  100Ml</t>
  </si>
  <si>
    <t>Blossom  - Hidratante</t>
  </si>
  <si>
    <t>Neiz Vidal</t>
  </si>
  <si>
    <t>Tauan</t>
  </si>
  <si>
    <t>Pedrão</t>
  </si>
  <si>
    <t>Luciano</t>
  </si>
  <si>
    <t>Felipe Araujo- jan/dez</t>
  </si>
  <si>
    <t>Junin (Paulo Cesar)-jan</t>
  </si>
  <si>
    <t>Pedrão-fev</t>
  </si>
  <si>
    <t>Felipe Araujo-fev</t>
  </si>
  <si>
    <t>Junin (Paulo Cesar)- fev</t>
  </si>
  <si>
    <t>João Previato -fev</t>
  </si>
  <si>
    <t xml:space="preserve">Igor Paes- fev </t>
  </si>
  <si>
    <t xml:space="preserve">Felipe Santos-fev </t>
  </si>
  <si>
    <t xml:space="preserve">Eidy-fev </t>
  </si>
  <si>
    <t>Thamiris Bambini-fev</t>
  </si>
  <si>
    <t xml:space="preserve">Leonardo celico-fev </t>
  </si>
  <si>
    <t xml:space="preserve">Luciano-fev </t>
  </si>
  <si>
    <t>fev</t>
  </si>
  <si>
    <t xml:space="preserve">Flavio ( queijin)- jan </t>
  </si>
  <si>
    <t>Isa Mulher do Thiago- fev</t>
  </si>
  <si>
    <t>Thiago Cotuba</t>
  </si>
  <si>
    <t>Matheus Rici</t>
  </si>
  <si>
    <t>Eduardo</t>
  </si>
  <si>
    <t>Vitoria Cardoso</t>
  </si>
  <si>
    <t>50ML</t>
  </si>
  <si>
    <t>Mayra</t>
  </si>
  <si>
    <t>Maninho</t>
  </si>
  <si>
    <t xml:space="preserve">Ana ( Felipe Araujo) </t>
  </si>
  <si>
    <t xml:space="preserve">Lucas Pedroso </t>
  </si>
  <si>
    <t xml:space="preserve">Dalton Zili </t>
  </si>
  <si>
    <t>Maycon Rampin- jan</t>
  </si>
  <si>
    <t>Maycon Rampin</t>
  </si>
  <si>
    <t xml:space="preserve">Felipe Santos </t>
  </si>
  <si>
    <t>Afonso Siqueira</t>
  </si>
  <si>
    <t>Rogerio Pinto ( Eduardo )</t>
  </si>
  <si>
    <t>Eduardo-jan ( 5.000,00)</t>
  </si>
  <si>
    <t>Felipe Araujo</t>
  </si>
  <si>
    <t>Vinicius Rezende</t>
  </si>
  <si>
    <t>Igor Paes</t>
  </si>
  <si>
    <t>Vinicius Feitosa</t>
  </si>
  <si>
    <t xml:space="preserve">Flavio ( queijin) </t>
  </si>
  <si>
    <t xml:space="preserve">Adão Pereira </t>
  </si>
  <si>
    <t>pai</t>
  </si>
  <si>
    <t>Diego Thomazo</t>
  </si>
  <si>
    <t>Thais Rodrigues</t>
  </si>
  <si>
    <t>Arthur Pini</t>
  </si>
  <si>
    <t>Jonatha sandoval- fev</t>
  </si>
  <si>
    <t>MÃE</t>
  </si>
  <si>
    <t xml:space="preserve">Pago </t>
  </si>
  <si>
    <t>Isabela Leal</t>
  </si>
  <si>
    <t xml:space="preserve">Pagamento </t>
  </si>
  <si>
    <t xml:space="preserve">Isabela Leal- jan </t>
  </si>
  <si>
    <t>OBSERVAÇÃO</t>
  </si>
  <si>
    <t xml:space="preserve">Alex Rocket League </t>
  </si>
  <si>
    <t>Pedro V.l</t>
  </si>
  <si>
    <t xml:space="preserve">Livia Barbosa </t>
  </si>
  <si>
    <t>Luis Fernando ( energia solar)</t>
  </si>
  <si>
    <t>Paulo Gouveia</t>
  </si>
  <si>
    <t>Isa do Thiago</t>
  </si>
  <si>
    <t>ok</t>
  </si>
  <si>
    <t>Coluna2</t>
  </si>
  <si>
    <t>Coluna3</t>
  </si>
  <si>
    <t>Coluna1</t>
  </si>
  <si>
    <t>Jonathan Sandoval</t>
  </si>
  <si>
    <t>OK</t>
  </si>
  <si>
    <t>0k</t>
  </si>
  <si>
    <t>Igor gomes (Igreja)</t>
  </si>
  <si>
    <t xml:space="preserve">Berenice </t>
  </si>
  <si>
    <t>maleta</t>
  </si>
  <si>
    <t>Ademar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</si>
</sst>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 tint="0.499984740745262"/>
      <name val="Calibri"/>
      <family val="2"/>
      <scheme val="minor"/>
    </font>
    <font>
      <sz val="16"/>
      <color theme="0"/>
      <name val="Calibri"/>
      <family val="2"/>
      <scheme val="minor"/>
    </font>
    <font>
      <b/>
      <u/>
      <sz val="11"/>
      <color theme="0" tint="-0.34998626667073579"/>
      <name val="Calibri"/>
      <family val="2"/>
      <scheme val="minor"/>
    </font>
    <font>
      <u/>
      <sz val="11"/>
      <color theme="0" tint="-0.34998626667073579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/>
    </xf>
    <xf numFmtId="14" fontId="0" fillId="4" borderId="2" xfId="0" applyNumberForma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2" xfId="0" applyFill="1" applyBorder="1"/>
    <xf numFmtId="0" fontId="0" fillId="0" borderId="0" xfId="0" applyAlignment="1">
      <alignment horizontal="left"/>
    </xf>
    <xf numFmtId="0" fontId="0" fillId="4" borderId="3" xfId="0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3" fillId="0" borderId="2" xfId="0" applyFont="1" applyBorder="1"/>
    <xf numFmtId="0" fontId="3" fillId="4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7" fontId="0" fillId="4" borderId="2" xfId="0" applyNumberForma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0" fillId="0" borderId="1" xfId="0" applyBorder="1"/>
    <xf numFmtId="0" fontId="8" fillId="0" borderId="0" xfId="0" applyFont="1"/>
    <xf numFmtId="0" fontId="4" fillId="2" borderId="1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4" borderId="0" xfId="0" applyFill="1"/>
    <xf numFmtId="0" fontId="5" fillId="4" borderId="2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/>
    <xf numFmtId="0" fontId="2" fillId="4" borderId="2" xfId="0" applyFont="1" applyFill="1" applyBorder="1"/>
    <xf numFmtId="0" fontId="2" fillId="3" borderId="2" xfId="0" applyFont="1" applyFill="1" applyBorder="1" applyAlignment="1">
      <alignment horizontal="center"/>
    </xf>
    <xf numFmtId="0" fontId="0" fillId="2" borderId="2" xfId="0" applyFill="1" applyBorder="1"/>
    <xf numFmtId="4" fontId="6" fillId="3" borderId="2" xfId="0" applyNumberFormat="1" applyFont="1" applyFill="1" applyBorder="1" applyAlignment="1">
      <alignment horizontal="center"/>
    </xf>
    <xf numFmtId="14" fontId="0" fillId="4" borderId="2" xfId="0" quotePrefix="1" applyNumberFormat="1" applyFill="1" applyBorder="1" applyAlignment="1">
      <alignment horizontal="center"/>
    </xf>
    <xf numFmtId="4" fontId="6" fillId="2" borderId="2" xfId="0" applyNumberFormat="1" applyFont="1" applyFill="1" applyBorder="1" applyAlignment="1">
      <alignment horizontal="center"/>
    </xf>
    <xf numFmtId="4" fontId="6" fillId="4" borderId="9" xfId="0" applyNumberFormat="1" applyFont="1" applyFill="1" applyBorder="1" applyAlignment="1">
      <alignment horizontal="center"/>
    </xf>
    <xf numFmtId="4" fontId="6" fillId="3" borderId="9" xfId="0" applyNumberFormat="1" applyFont="1" applyFill="1" applyBorder="1" applyAlignment="1">
      <alignment horizontal="center"/>
    </xf>
    <xf numFmtId="0" fontId="0" fillId="4" borderId="5" xfId="0" applyFill="1" applyBorder="1"/>
    <xf numFmtId="0" fontId="2" fillId="4" borderId="13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4" fontId="9" fillId="3" borderId="2" xfId="0" applyNumberFormat="1" applyFont="1" applyFill="1" applyBorder="1" applyAlignment="1">
      <alignment horizontal="center"/>
    </xf>
    <xf numFmtId="17" fontId="11" fillId="4" borderId="5" xfId="0" applyNumberFormat="1" applyFont="1" applyFill="1" applyBorder="1" applyAlignment="1">
      <alignment horizontal="center"/>
    </xf>
    <xf numFmtId="17" fontId="11" fillId="4" borderId="14" xfId="0" applyNumberFormat="1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4" fontId="0" fillId="3" borderId="2" xfId="0" applyNumberFormat="1" applyFill="1" applyBorder="1" applyAlignment="1">
      <alignment horizontal="center"/>
    </xf>
    <xf numFmtId="17" fontId="0" fillId="4" borderId="5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17" fontId="0" fillId="4" borderId="14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4" fontId="0" fillId="8" borderId="2" xfId="0" applyNumberFormat="1" applyFill="1" applyBorder="1" applyAlignment="1">
      <alignment horizontal="center"/>
    </xf>
    <xf numFmtId="4" fontId="0" fillId="4" borderId="16" xfId="0" applyNumberFormat="1" applyFill="1" applyBorder="1" applyAlignment="1">
      <alignment horizontal="center"/>
    </xf>
    <xf numFmtId="4" fontId="0" fillId="3" borderId="16" xfId="0" applyNumberForma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4" fontId="0" fillId="4" borderId="2" xfId="0" applyNumberFormat="1" applyFill="1" applyBorder="1" applyAlignment="1">
      <alignment horizontal="center"/>
    </xf>
    <xf numFmtId="14" fontId="0" fillId="4" borderId="16" xfId="0" applyNumberFormat="1" applyFill="1" applyBorder="1" applyAlignment="1">
      <alignment horizontal="center"/>
    </xf>
    <xf numFmtId="4" fontId="0" fillId="4" borderId="3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17" fontId="12" fillId="4" borderId="5" xfId="0" applyNumberFormat="1" applyFont="1" applyFill="1" applyBorder="1" applyAlignment="1">
      <alignment horizontal="center"/>
    </xf>
    <xf numFmtId="4" fontId="6" fillId="4" borderId="2" xfId="0" applyNumberFormat="1" applyFont="1" applyFill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2" fillId="4" borderId="11" xfId="0" applyNumberFormat="1" applyFont="1" applyFill="1" applyBorder="1" applyAlignment="1">
      <alignment horizontal="center"/>
    </xf>
    <xf numFmtId="4" fontId="0" fillId="2" borderId="16" xfId="0" applyNumberFormat="1" applyFill="1" applyBorder="1" applyAlignment="1">
      <alignment horizontal="center"/>
    </xf>
    <xf numFmtId="4" fontId="0" fillId="2" borderId="15" xfId="0" applyNumberFormat="1" applyFill="1" applyBorder="1" applyAlignment="1">
      <alignment horizontal="center"/>
    </xf>
    <xf numFmtId="4" fontId="0" fillId="4" borderId="12" xfId="0" applyNumberFormat="1" applyFill="1" applyBorder="1" applyAlignment="1">
      <alignment horizontal="center"/>
    </xf>
    <xf numFmtId="4" fontId="0" fillId="4" borderId="15" xfId="0" applyNumberFormat="1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4" borderId="2" xfId="0" applyFont="1" applyFill="1" applyBorder="1"/>
    <xf numFmtId="0" fontId="0" fillId="3" borderId="2" xfId="0" applyFill="1" applyBorder="1"/>
    <xf numFmtId="0" fontId="0" fillId="7" borderId="2" xfId="0" applyFill="1" applyBorder="1"/>
    <xf numFmtId="0" fontId="0" fillId="2" borderId="2" xfId="0" applyFill="1" applyBorder="1" applyAlignment="1">
      <alignment horizontal="center"/>
    </xf>
    <xf numFmtId="4" fontId="9" fillId="2" borderId="3" xfId="0" applyNumberFormat="1" applyFont="1" applyFill="1" applyBorder="1" applyAlignment="1">
      <alignment horizontal="center"/>
    </xf>
    <xf numFmtId="4" fontId="9" fillId="4" borderId="3" xfId="0" applyNumberFormat="1" applyFont="1" applyFill="1" applyBorder="1" applyAlignment="1">
      <alignment horizontal="center"/>
    </xf>
    <xf numFmtId="3" fontId="0" fillId="4" borderId="11" xfId="0" applyNumberFormat="1" applyFill="1" applyBorder="1" applyAlignment="1">
      <alignment horizontal="center"/>
    </xf>
    <xf numFmtId="0" fontId="15" fillId="4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6" xfId="0" applyFill="1" applyBorder="1"/>
    <xf numFmtId="0" fontId="0" fillId="3" borderId="0" xfId="0" applyFill="1"/>
    <xf numFmtId="0" fontId="0" fillId="7" borderId="0" xfId="0" applyFill="1"/>
    <xf numFmtId="2" fontId="0" fillId="3" borderId="15" xfId="0" applyNumberForma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0" fillId="9" borderId="2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22" formatCode="mmm/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rgb="FFE6B8B7"/>
          <bgColor rgb="FF000000"/>
        </patternFill>
      </fill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left style="thin">
          <color theme="0" tint="-0.14999847407452621"/>
        </left>
        <right style="thin">
          <color theme="0" tint="-0.149998474074526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left style="thin">
          <color theme="0" tint="-0.14999847407452621"/>
        </left>
        <right style="thin">
          <color theme="0" tint="-0.149998474074526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left style="thin">
          <color theme="0" tint="-0.14999847407452621"/>
        </left>
        <right style="thin">
          <color theme="0" tint="-0.149998474074526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left style="thin">
          <color theme="0" tint="-0.14999847407452621"/>
        </left>
        <right style="thin">
          <color theme="0" tint="-0.149998474074526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left style="thin">
          <color theme="0" tint="-0.14999847407452621"/>
        </left>
        <right style="thin">
          <color theme="0" tint="-0.149998474074526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FE82B1-30D8-4EC3-9868-D73992046CC5}" name="Tabela3" displayName="Tabela3" ref="A1:G6" totalsRowShown="0" headerRowDxfId="74" tableBorderDxfId="73">
  <autoFilter ref="A1:G6" xr:uid="{C3FE82B1-30D8-4EC3-9868-D73992046CC5}"/>
  <tableColumns count="7">
    <tableColumn id="1" xr3:uid="{E5B96F28-ACDA-4EBF-A075-781D84705505}" name="Código " dataDxfId="72"/>
    <tableColumn id="2" xr3:uid="{A22BD782-09F6-4D9D-B773-A8BA76A508AB}" name="Nome do Perfume" dataDxfId="71"/>
    <tableColumn id="3" xr3:uid="{0B663F12-DB04-40A5-AFAC-01B29FA7B92D}" name="Categoria" dataDxfId="70"/>
    <tableColumn id="4" xr3:uid="{DBD60107-694A-45C6-9A4A-1457738F1546}" name="Inicio" dataDxfId="69"/>
    <tableColumn id="5" xr3:uid="{BE5AD82A-348C-4E46-81F2-5B65612C9BD2}" name="Vendido" dataDxfId="68">
      <calculatedColumnFormula>SUMIF(Vm!$C:$C,$A2,Vm!$F:$F)</calculatedColumnFormula>
    </tableColumn>
    <tableColumn id="6" xr3:uid="{3F51E629-7ADC-42C5-BAF7-5042798D481C}" name="Total" dataDxfId="67">
      <calculatedColumnFormula>SUM(D2-E2)</calculatedColumnFormula>
    </tableColumn>
    <tableColumn id="7" xr3:uid="{083B583F-76EE-46E0-A36D-CDF917BA876E}" name="Coluna1" dataDxfId="6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6502EF-4A4D-4399-BE92-7AF998040382}" name="Tabela4" displayName="Tabela4" ref="A8:G77" totalsRowShown="0" headerRowDxfId="65" tableBorderDxfId="64">
  <autoFilter ref="A8:G77" xr:uid="{6C6502EF-4A4D-4399-BE92-7AF998040382}"/>
  <sortState xmlns:xlrd2="http://schemas.microsoft.com/office/spreadsheetml/2017/richdata2" ref="A9:F77">
    <sortCondition ref="B8:B77"/>
  </sortState>
  <tableColumns count="7">
    <tableColumn id="1" xr3:uid="{11EDFF9F-40FF-4A56-B85B-6F912DC8B95F}" name="Código " dataDxfId="63"/>
    <tableColumn id="2" xr3:uid="{A29E62FB-52AE-4AA0-81E6-94A81F331E03}" name="Nome do Perfume" dataDxfId="62"/>
    <tableColumn id="3" xr3:uid="{8F15EA9F-BF54-4DF0-88D6-CF4FA77AD41F}" name="Categoria" dataDxfId="61"/>
    <tableColumn id="4" xr3:uid="{2663A862-98B9-4A02-AD58-A3173F038353}" name="Inicio" dataDxfId="60"/>
    <tableColumn id="5" xr3:uid="{4A5FA709-14A1-45A4-8F0A-D3E164BE6AF9}" name="Vendido" dataDxfId="59">
      <calculatedColumnFormula>SUMIF(Vm!$C:$C,$A9,Vm!$F:$F)</calculatedColumnFormula>
    </tableColumn>
    <tableColumn id="6" xr3:uid="{85548E93-3F57-436A-8AF4-B8E7AAF57BBD}" name="Total" dataDxfId="58">
      <calculatedColumnFormula>SUM(D9-E9)</calculatedColumnFormula>
    </tableColumn>
    <tableColumn id="7" xr3:uid="{E27F20E4-2BEF-4752-9B61-DCCD8811C2CA}" name="Coluna1" dataDxfId="5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15E0E1-4276-4284-9203-5B66B4941DD7}" name="Tabela5" displayName="Tabela5" ref="A79:H146" totalsRowShown="0" headerRowDxfId="56" tableBorderDxfId="55">
  <autoFilter ref="A79:H146" xr:uid="{4015E0E1-4276-4284-9203-5B66B4941DD7}"/>
  <tableColumns count="8">
    <tableColumn id="1" xr3:uid="{45E214D8-B306-4DAF-9A8A-171A94EAC60B}" name="Código " dataDxfId="54"/>
    <tableColumn id="2" xr3:uid="{3D908EEA-9378-44F6-86BD-E7A0FA3D7FC4}" name="Nome do Perfume" dataDxfId="53"/>
    <tableColumn id="3" xr3:uid="{40FBCBBD-FB75-42D6-94F3-11346B6417E9}" name="Categoria" dataDxfId="52"/>
    <tableColumn id="4" xr3:uid="{8327DFD0-8EF4-4FCA-AE7B-E9074B8F76F7}" name="Inicio" dataDxfId="51"/>
    <tableColumn id="5" xr3:uid="{FE7D6775-58AA-43D1-88E2-F3A5F8923390}" name="Vendido" dataDxfId="50">
      <calculatedColumnFormula>SUMIF(Vm!$C:$C,$A80,Vm!$F:$F)</calculatedColumnFormula>
    </tableColumn>
    <tableColumn id="6" xr3:uid="{77190EF1-A9CB-437D-BB80-18261B87CB44}" name="Total" dataDxfId="49">
      <calculatedColumnFormula>SUM(D80-E80)</calculatedColumnFormula>
    </tableColumn>
    <tableColumn id="8" xr3:uid="{AFD726B4-1F94-45DA-A3B2-045889BBA855}" name="Coluna2" dataDxfId="48"/>
    <tableColumn id="9" xr3:uid="{2CD8027F-7B57-4D14-8970-94D726465A4B}" name="Coluna3" dataDxfId="4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30AA2A-39F3-434E-821C-10534F56379A}" name="Tabela6" displayName="Tabela6" ref="A148:H150" totalsRowShown="0" headerRowDxfId="46" tableBorderDxfId="45">
  <autoFilter ref="A148:H150" xr:uid="{0A30AA2A-39F3-434E-821C-10534F56379A}"/>
  <tableColumns count="8">
    <tableColumn id="1" xr3:uid="{617DE148-3912-4BCF-864C-468B18C774A9}" name="Código " dataDxfId="44"/>
    <tableColumn id="2" xr3:uid="{4DCE1CD0-F4B1-4100-B39C-A12C227079A1}" name="Nome do Perfume" dataDxfId="43"/>
    <tableColumn id="3" xr3:uid="{552707F3-88A8-4854-B2E5-2DB6B9FBD6FE}" name="Categoria" dataDxfId="42"/>
    <tableColumn id="4" xr3:uid="{FBF7091D-4945-4019-BE18-233E68E1CF92}" name="Inicio" dataDxfId="41"/>
    <tableColumn id="5" xr3:uid="{D08AEF91-B93B-417B-8B61-18A76FC8809A}" name="Vendido" dataDxfId="40">
      <calculatedColumnFormula>SUMIF(Vm!$C:$C,$A149,Vm!$F:$F)</calculatedColumnFormula>
    </tableColumn>
    <tableColumn id="6" xr3:uid="{466F9122-CADD-411F-9BF5-E2BED1BDC3FF}" name="Total" dataDxfId="39">
      <calculatedColumnFormula>SUM(D149-E149)</calculatedColumnFormula>
    </tableColumn>
    <tableColumn id="7" xr3:uid="{E432520C-7892-44E3-9764-FFA22C9A5052}" name="Coluna1" dataDxfId="38"/>
    <tableColumn id="8" xr3:uid="{B58EBF48-4C89-49E1-AB70-0723F61C824D}" name="Coluna2" dataDxfId="37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C24C73-E223-4A48-BC0E-22D2946B8687}" name="Tabela7" displayName="Tabela7" ref="A152:H214" totalsRowShown="0" headerRowDxfId="36" dataDxfId="35">
  <autoFilter ref="A152:H214" xr:uid="{EBC24C73-E223-4A48-BC0E-22D2946B8687}"/>
  <sortState xmlns:xlrd2="http://schemas.microsoft.com/office/spreadsheetml/2017/richdata2" ref="A153:F214">
    <sortCondition ref="B152:B214"/>
  </sortState>
  <tableColumns count="8">
    <tableColumn id="1" xr3:uid="{E946C20F-8D46-443B-8FAF-322A20431382}" name="Código " dataDxfId="34"/>
    <tableColumn id="2" xr3:uid="{C664BE0D-8665-416D-BD9C-B8995392C94F}" name="Nome do Perfume" dataDxfId="33"/>
    <tableColumn id="3" xr3:uid="{E12B4803-1F97-4A7C-9E78-79CDE935AFB5}" name="Categoria" dataDxfId="32"/>
    <tableColumn id="4" xr3:uid="{19F91B24-92DF-4537-B8A5-4B51322AF4B0}" name="Inicio" dataDxfId="31"/>
    <tableColumn id="5" xr3:uid="{42169411-9257-4FFC-803C-7DA1C7FE1AAB}" name="Vendido" dataDxfId="30">
      <calculatedColumnFormula>SUMIF(Vm!$C:$C,$A153,Vm!$F:$F)</calculatedColumnFormula>
    </tableColumn>
    <tableColumn id="6" xr3:uid="{6BB1D75D-364C-4CD1-AF0E-FF3C6E159DBB}" name="Total" dataDxfId="29">
      <calculatedColumnFormula>SUM(D153-E153)</calculatedColumnFormula>
    </tableColumn>
    <tableColumn id="7" xr3:uid="{DA19CB2A-2498-46ED-B187-32C897BF78C6}" name="Coluna1" dataDxfId="28"/>
    <tableColumn id="8" xr3:uid="{1B6A7B15-D88B-4030-83AA-F407D9A2A02A}" name="Coluna2" dataDxfId="27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F1A904-4077-4CC0-A8C3-390F6E4C99DE}" name="Tabela8" displayName="Tabela8" ref="A216:F241" totalsRowShown="0" headerRowDxfId="26" tableBorderDxfId="25">
  <autoFilter ref="A216:F241" xr:uid="{A6F1A904-4077-4CC0-A8C3-390F6E4C99DE}"/>
  <tableColumns count="6">
    <tableColumn id="1" xr3:uid="{40AD03D0-8AF0-4A89-884D-804E95890035}" name="Código " dataDxfId="24"/>
    <tableColumn id="2" xr3:uid="{D7E4757A-3237-4E49-8DAD-828A78D93997}" name="Nome do Perfume" dataDxfId="23"/>
    <tableColumn id="3" xr3:uid="{0C8C63C2-900D-4636-976C-E1A62BCC4D46}" name="Categoria" dataDxfId="22"/>
    <tableColumn id="4" xr3:uid="{77901462-290D-40FF-9A66-F81311495CC1}" name="Inicio" dataDxfId="21"/>
    <tableColumn id="5" xr3:uid="{C99F55D7-31EF-4AF5-A29E-26CF36710FB4}" name="Vendido" dataDxfId="20">
      <calculatedColumnFormula>SUMIF(Vm!$C:$C,$A217,Vm!$F:$F)</calculatedColumnFormula>
    </tableColumn>
    <tableColumn id="6" xr3:uid="{F0DAD26D-AB8A-4C84-9C10-7F0049E2755E}" name="Total" dataDxfId="19">
      <calculatedColumnFormula>SUM(D217-E217)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29D9FC-2CAE-4CD1-B87E-018F46CB4682}" name="Tabela2" displayName="Tabela2" ref="A4:L62" totalsRowShown="0" headerRowDxfId="17" dataDxfId="15" headerRowBorderDxfId="16" tableBorderDxfId="14" totalsRowBorderDxfId="13">
  <autoFilter ref="A4:L62" xr:uid="{2329D9FC-2CAE-4CD1-B87E-018F46CB4682}"/>
  <sortState xmlns:xlrd2="http://schemas.microsoft.com/office/spreadsheetml/2017/richdata2" ref="A5:L59">
    <sortCondition sortBy="cellColor" ref="B4:B59" dxfId="12"/>
  </sortState>
  <tableColumns count="12">
    <tableColumn id="1" xr3:uid="{7444EA90-32E0-4755-AD63-5C0EF95B7E32}" name="Mês/Ano" dataDxfId="11"/>
    <tableColumn id="2" xr3:uid="{9F4ACEB9-3018-4B68-9395-AD8DC4DA0626}" name="Vendedor" dataDxfId="10"/>
    <tableColumn id="3" xr3:uid="{BE7CB9BB-C789-49D1-AFF2-074278E943AC}" name="Total Vendido (R$)" dataDxfId="9"/>
    <tableColumn id="4" xr3:uid="{6663EFF1-D299-417A-8E02-4054236BC0A1}" name="10ML " dataDxfId="8"/>
    <tableColumn id="5" xr3:uid="{851B95D4-C2F3-48AC-B145-F128F6DCE43F}" name="28ML " dataDxfId="7"/>
    <tableColumn id="6" xr3:uid="{81A87810-1E33-4D2F-B2FA-DF177B64F12F}" name="50ML " dataDxfId="6"/>
    <tableColumn id="7" xr3:uid="{B65411E7-4A56-4FCF-A0FF-0623C8B40357}" name="100ML " dataDxfId="5"/>
    <tableColumn id="8" xr3:uid="{A71B6FAA-1B1A-4031-B7A5-A1235EDA8E95}" name="Hidratante " dataDxfId="4"/>
    <tableColumn id="9" xr3:uid="{291FA3D7-CF4B-4A94-B47D-46D693823BC3}" name="Bodysplash" dataDxfId="3"/>
    <tableColumn id="10" xr3:uid="{F2357905-98C3-4D4A-8414-8F37BDC50939}" name="Total" dataDxfId="2"/>
    <tableColumn id="19" xr3:uid="{2401ED16-A128-4D28-B371-930C4EB0A8CD}" name="Pagamento " dataDxfId="1"/>
    <tableColumn id="11" xr3:uid="{7555DEA5-61B9-4FA8-876A-99688FE5FFF5}" name="OBSERVAÇÃ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1"/>
  <sheetViews>
    <sheetView topLeftCell="A146" zoomScaleNormal="100" workbookViewId="0">
      <selection activeCell="F146" sqref="F146"/>
    </sheetView>
  </sheetViews>
  <sheetFormatPr defaultRowHeight="15" x14ac:dyDescent="0.25"/>
  <cols>
    <col min="1" max="1" width="10.42578125" style="4" customWidth="1"/>
    <col min="2" max="2" width="49.5703125" style="6" customWidth="1"/>
    <col min="3" max="3" width="13.5703125" style="1" customWidth="1"/>
    <col min="4" max="4" width="16.140625" style="6" customWidth="1"/>
    <col min="5" max="5" width="23.140625" style="1" customWidth="1"/>
    <col min="6" max="6" width="16.140625" style="6" customWidth="1"/>
    <col min="7" max="7" width="0" style="21" hidden="1" customWidth="1"/>
    <col min="8" max="8" width="0" style="1" hidden="1" customWidth="1"/>
    <col min="9" max="9" width="20.140625" style="1" customWidth="1"/>
    <col min="10" max="10" width="0.28515625" style="1" hidden="1" customWidth="1"/>
    <col min="11" max="13" width="9.140625" style="1"/>
  </cols>
  <sheetData>
    <row r="1" spans="1:13" ht="15.75" x14ac:dyDescent="0.25">
      <c r="A1" s="58" t="s">
        <v>260</v>
      </c>
      <c r="B1" s="15" t="s">
        <v>0</v>
      </c>
      <c r="C1" s="13" t="s">
        <v>1</v>
      </c>
      <c r="D1" s="15" t="s">
        <v>300</v>
      </c>
      <c r="E1" s="13" t="s">
        <v>332</v>
      </c>
      <c r="F1" s="26" t="s">
        <v>317</v>
      </c>
      <c r="G1" s="100" t="s">
        <v>587</v>
      </c>
    </row>
    <row r="2" spans="1:13" x14ac:dyDescent="0.25">
      <c r="A2" s="59" t="s">
        <v>54</v>
      </c>
      <c r="B2" s="6" t="s">
        <v>8</v>
      </c>
      <c r="C2" s="1" t="s">
        <v>13</v>
      </c>
      <c r="D2" s="6">
        <v>11</v>
      </c>
      <c r="E2" s="1">
        <f>SUMIF(Vm!$C:$C,$A2,Vm!$F:$F)</f>
        <v>2</v>
      </c>
      <c r="F2" s="22">
        <f>SUM(D2-E2)</f>
        <v>9</v>
      </c>
      <c r="G2" s="21" t="s">
        <v>589</v>
      </c>
      <c r="I2" s="2" t="s">
        <v>297</v>
      </c>
      <c r="J2" s="16" t="s">
        <v>300</v>
      </c>
      <c r="K2" s="16" t="s">
        <v>305</v>
      </c>
      <c r="L2" s="2" t="s">
        <v>301</v>
      </c>
    </row>
    <row r="3" spans="1:13" x14ac:dyDescent="0.25">
      <c r="A3" s="59" t="s">
        <v>55</v>
      </c>
      <c r="B3" s="6" t="s">
        <v>9</v>
      </c>
      <c r="C3" s="1" t="s">
        <v>13</v>
      </c>
      <c r="D3" s="6">
        <v>16</v>
      </c>
      <c r="E3" s="1">
        <f>SUMIF(Vm!$C:$C,$A3,Vm!$F:$F)</f>
        <v>3</v>
      </c>
      <c r="F3" s="22">
        <f>SUM(D3-E3)</f>
        <v>13</v>
      </c>
      <c r="G3" s="21" t="s">
        <v>589</v>
      </c>
      <c r="I3" s="11" t="s">
        <v>298</v>
      </c>
      <c r="J3" s="2" t="e">
        <f>SUM(#REF!)</f>
        <v>#REF!</v>
      </c>
      <c r="K3" s="2">
        <f>SUM(E2:E6)</f>
        <v>14</v>
      </c>
      <c r="L3" s="2">
        <f>SUM(F2:F6)</f>
        <v>51</v>
      </c>
    </row>
    <row r="4" spans="1:13" x14ac:dyDescent="0.25">
      <c r="A4" s="59" t="s">
        <v>56</v>
      </c>
      <c r="B4" s="6" t="s">
        <v>10</v>
      </c>
      <c r="C4" s="1" t="s">
        <v>13</v>
      </c>
      <c r="D4" s="6">
        <v>15</v>
      </c>
      <c r="E4" s="1">
        <f>SUMIF(Vm!$C:$C,$A4,Vm!$F:$F)</f>
        <v>1</v>
      </c>
      <c r="F4" s="22">
        <f>SUM(D4-E4)</f>
        <v>14</v>
      </c>
      <c r="G4" s="21" t="s">
        <v>589</v>
      </c>
      <c r="I4" s="11" t="s">
        <v>290</v>
      </c>
      <c r="J4" s="17" t="e">
        <f>SUM(#REF!)</f>
        <v>#REF!</v>
      </c>
      <c r="K4" s="17">
        <f>SUM(E9:E73)</f>
        <v>55</v>
      </c>
      <c r="L4" s="2">
        <f>SUM(F9:F73)</f>
        <v>375</v>
      </c>
    </row>
    <row r="5" spans="1:13" x14ac:dyDescent="0.25">
      <c r="A5" s="59" t="s">
        <v>57</v>
      </c>
      <c r="B5" s="6" t="s">
        <v>11</v>
      </c>
      <c r="C5" s="1" t="s">
        <v>13</v>
      </c>
      <c r="D5" s="6">
        <v>12</v>
      </c>
      <c r="E5" s="1">
        <f>SUMIF(Vm!$C:$C,$A5,Vm!$F:$F)</f>
        <v>4</v>
      </c>
      <c r="F5" s="22">
        <f>SUM(D5-E5)</f>
        <v>8</v>
      </c>
      <c r="G5" s="21" t="s">
        <v>589</v>
      </c>
      <c r="I5" s="11" t="s">
        <v>282</v>
      </c>
      <c r="J5" s="17" t="e">
        <f>SUM(#REF!)</f>
        <v>#REF!</v>
      </c>
      <c r="K5" s="17">
        <f>SUM(E80:E142)</f>
        <v>296</v>
      </c>
      <c r="L5" s="17">
        <f>SUM(F80:F142)</f>
        <v>1057</v>
      </c>
    </row>
    <row r="6" spans="1:13" x14ac:dyDescent="0.25">
      <c r="A6" s="59" t="s">
        <v>58</v>
      </c>
      <c r="B6" s="6" t="s">
        <v>12</v>
      </c>
      <c r="C6" s="1" t="s">
        <v>13</v>
      </c>
      <c r="D6" s="6">
        <v>11</v>
      </c>
      <c r="E6" s="1">
        <f>SUMIF(Vm!$C:$C,$A6,Vm!$F:$F)</f>
        <v>4</v>
      </c>
      <c r="F6" s="22">
        <f>SUM(D6-E6)</f>
        <v>7</v>
      </c>
      <c r="G6" s="21" t="s">
        <v>589</v>
      </c>
      <c r="I6" s="11" t="s">
        <v>291</v>
      </c>
      <c r="J6" s="17" t="e">
        <f xml:space="preserve"> SUM(#REF!)</f>
        <v>#REF!</v>
      </c>
      <c r="K6" s="17">
        <f>SUM( E149:E150)</f>
        <v>6</v>
      </c>
      <c r="L6" s="17">
        <f>SUM( F149:F150)</f>
        <v>31</v>
      </c>
    </row>
    <row r="7" spans="1:13" ht="14.25" customHeight="1" x14ac:dyDescent="0.25">
      <c r="I7" s="11" t="s">
        <v>299</v>
      </c>
      <c r="J7" s="17" t="e">
        <f>SUM(#REF!)</f>
        <v>#REF!</v>
      </c>
      <c r="K7" s="17">
        <f>SUM(E153:E211)</f>
        <v>56</v>
      </c>
      <c r="L7" s="17">
        <f>SUM(F153:F211)</f>
        <v>280</v>
      </c>
    </row>
    <row r="8" spans="1:13" ht="15.75" x14ac:dyDescent="0.25">
      <c r="A8" s="58" t="s">
        <v>260</v>
      </c>
      <c r="B8" s="15" t="s">
        <v>0</v>
      </c>
      <c r="C8" s="13" t="s">
        <v>1</v>
      </c>
      <c r="D8" s="15" t="s">
        <v>300</v>
      </c>
      <c r="E8" s="13" t="s">
        <v>332</v>
      </c>
      <c r="F8" s="26" t="s">
        <v>317</v>
      </c>
      <c r="G8" s="100" t="s">
        <v>587</v>
      </c>
      <c r="I8" s="11" t="s">
        <v>292</v>
      </c>
      <c r="J8" s="17" t="e">
        <f>SUM(#REF!)</f>
        <v>#REF!</v>
      </c>
      <c r="K8" s="17">
        <f>SUM(E217:E241)</f>
        <v>24</v>
      </c>
      <c r="L8" s="17">
        <f>SUM(F217:F241)</f>
        <v>275</v>
      </c>
      <c r="M8"/>
    </row>
    <row r="9" spans="1:13" x14ac:dyDescent="0.25">
      <c r="A9" s="59" t="s">
        <v>63</v>
      </c>
      <c r="B9" s="6" t="s">
        <v>18</v>
      </c>
      <c r="C9" s="1" t="s">
        <v>53</v>
      </c>
      <c r="D9" s="6">
        <v>5</v>
      </c>
      <c r="E9" s="1">
        <f>SUMIF(Vm!$C:$C,$A9,Vm!$F:$F)</f>
        <v>0</v>
      </c>
      <c r="F9" s="22">
        <f t="shared" ref="F9:F40" si="0">SUM(D9-E9)</f>
        <v>5</v>
      </c>
      <c r="G9" s="1" t="s">
        <v>584</v>
      </c>
      <c r="M9"/>
    </row>
    <row r="10" spans="1:13" x14ac:dyDescent="0.25">
      <c r="A10" s="59" t="s">
        <v>90</v>
      </c>
      <c r="B10" s="6" t="s">
        <v>395</v>
      </c>
      <c r="C10" s="1" t="s">
        <v>53</v>
      </c>
      <c r="D10" s="6">
        <v>5</v>
      </c>
      <c r="E10" s="1">
        <f>SUMIF(Vm!$C:$C,$A10,Vm!$F:$F)</f>
        <v>2</v>
      </c>
      <c r="F10" s="22">
        <f t="shared" si="0"/>
        <v>3</v>
      </c>
      <c r="G10" s="1" t="s">
        <v>584</v>
      </c>
      <c r="M10"/>
    </row>
    <row r="11" spans="1:13" x14ac:dyDescent="0.25">
      <c r="A11" s="59" t="s">
        <v>91</v>
      </c>
      <c r="B11" s="6" t="s">
        <v>396</v>
      </c>
      <c r="C11" s="1" t="s">
        <v>53</v>
      </c>
      <c r="D11" s="6">
        <v>8</v>
      </c>
      <c r="E11" s="1">
        <f>SUMIF(Vm!$C:$C,$A11,Vm!$F:$F)</f>
        <v>1</v>
      </c>
      <c r="F11" s="22">
        <f t="shared" si="0"/>
        <v>7</v>
      </c>
      <c r="G11" s="1" t="s">
        <v>584</v>
      </c>
      <c r="M11"/>
    </row>
    <row r="12" spans="1:13" x14ac:dyDescent="0.25">
      <c r="A12" s="59" t="s">
        <v>274</v>
      </c>
      <c r="B12" s="6" t="s">
        <v>275</v>
      </c>
      <c r="C12" s="1" t="s">
        <v>53</v>
      </c>
      <c r="D12" s="6">
        <v>7</v>
      </c>
      <c r="E12" s="1">
        <f>SUMIF(Vm!$C:$C,$A12,Vm!$F:$F)</f>
        <v>0</v>
      </c>
      <c r="F12" s="22">
        <f t="shared" si="0"/>
        <v>7</v>
      </c>
      <c r="G12" s="1" t="s">
        <v>584</v>
      </c>
      <c r="M12"/>
    </row>
    <row r="13" spans="1:13" x14ac:dyDescent="0.25">
      <c r="A13" s="59" t="s">
        <v>61</v>
      </c>
      <c r="B13" s="6" t="s">
        <v>16</v>
      </c>
      <c r="C13" s="1" t="s">
        <v>53</v>
      </c>
      <c r="D13" s="6">
        <v>9</v>
      </c>
      <c r="E13" s="1">
        <f>SUMIF(Vm!$C:$C,$A13,Vm!$F:$F)</f>
        <v>0</v>
      </c>
      <c r="F13" s="22">
        <f t="shared" si="0"/>
        <v>9</v>
      </c>
      <c r="G13" s="1" t="s">
        <v>584</v>
      </c>
      <c r="M13"/>
    </row>
    <row r="14" spans="1:13" x14ac:dyDescent="0.25">
      <c r="A14" s="59" t="s">
        <v>64</v>
      </c>
      <c r="B14" s="6" t="s">
        <v>19</v>
      </c>
      <c r="C14" s="1" t="s">
        <v>53</v>
      </c>
      <c r="D14" s="6">
        <v>4</v>
      </c>
      <c r="E14" s="1">
        <f>SUMIF(Vm!$C:$C,$A14,Vm!$F:$F)</f>
        <v>0</v>
      </c>
      <c r="F14" s="22">
        <f t="shared" si="0"/>
        <v>4</v>
      </c>
      <c r="G14" s="1" t="s">
        <v>584</v>
      </c>
      <c r="M14"/>
    </row>
    <row r="15" spans="1:13" x14ac:dyDescent="0.25">
      <c r="A15" s="59" t="s">
        <v>92</v>
      </c>
      <c r="B15" s="6" t="s">
        <v>397</v>
      </c>
      <c r="C15" s="1" t="s">
        <v>53</v>
      </c>
      <c r="D15" s="6">
        <v>6</v>
      </c>
      <c r="E15" s="1">
        <f>SUMIF(Vm!$C:$C,$A15,Vm!$F:$F)</f>
        <v>0</v>
      </c>
      <c r="F15" s="22">
        <f t="shared" si="0"/>
        <v>6</v>
      </c>
      <c r="G15" s="1" t="s">
        <v>584</v>
      </c>
      <c r="M15"/>
    </row>
    <row r="16" spans="1:13" x14ac:dyDescent="0.25">
      <c r="A16" s="59" t="s">
        <v>93</v>
      </c>
      <c r="B16" s="6" t="s">
        <v>398</v>
      </c>
      <c r="C16" s="1" t="s">
        <v>53</v>
      </c>
      <c r="D16" s="6">
        <v>7</v>
      </c>
      <c r="E16" s="1">
        <f>SUMIF(Vm!$C:$C,$A16,Vm!$F:$F)</f>
        <v>2</v>
      </c>
      <c r="F16" s="22">
        <f t="shared" si="0"/>
        <v>5</v>
      </c>
      <c r="G16" s="1" t="s">
        <v>584</v>
      </c>
      <c r="M16"/>
    </row>
    <row r="17" spans="1:13" x14ac:dyDescent="0.25">
      <c r="A17" s="59" t="s">
        <v>94</v>
      </c>
      <c r="B17" s="6" t="s">
        <v>392</v>
      </c>
      <c r="C17" s="1" t="s">
        <v>53</v>
      </c>
      <c r="D17" s="6">
        <v>7</v>
      </c>
      <c r="E17" s="1">
        <f>SUMIF(Vm!$C:$C,$A17,Vm!$F:$F)</f>
        <v>2</v>
      </c>
      <c r="F17" s="22">
        <f t="shared" si="0"/>
        <v>5</v>
      </c>
      <c r="G17" s="1" t="s">
        <v>584</v>
      </c>
      <c r="M17"/>
    </row>
    <row r="18" spans="1:13" x14ac:dyDescent="0.25">
      <c r="A18" s="59" t="s">
        <v>95</v>
      </c>
      <c r="B18" s="6" t="s">
        <v>391</v>
      </c>
      <c r="C18" s="1" t="s">
        <v>53</v>
      </c>
      <c r="D18" s="6">
        <v>7</v>
      </c>
      <c r="E18" s="1">
        <f>SUMIF(Vm!$C:$C,$A18,Vm!$F:$F)</f>
        <v>0</v>
      </c>
      <c r="F18" s="22">
        <f t="shared" si="0"/>
        <v>7</v>
      </c>
      <c r="G18" s="1" t="s">
        <v>584</v>
      </c>
      <c r="M18"/>
    </row>
    <row r="19" spans="1:13" x14ac:dyDescent="0.25">
      <c r="A19" s="59" t="s">
        <v>65</v>
      </c>
      <c r="B19" s="6" t="s">
        <v>20</v>
      </c>
      <c r="C19" s="1" t="s">
        <v>53</v>
      </c>
      <c r="D19" s="6">
        <v>7</v>
      </c>
      <c r="E19" s="1">
        <f>SUMIF(Vm!$C:$C,$A19,Vm!$F:$F)</f>
        <v>3</v>
      </c>
      <c r="F19" s="22">
        <f t="shared" si="0"/>
        <v>4</v>
      </c>
      <c r="G19" s="1" t="s">
        <v>584</v>
      </c>
      <c r="M19"/>
    </row>
    <row r="20" spans="1:13" x14ac:dyDescent="0.25">
      <c r="A20" s="59" t="s">
        <v>96</v>
      </c>
      <c r="B20" s="6" t="s">
        <v>388</v>
      </c>
      <c r="C20" s="1" t="s">
        <v>53</v>
      </c>
      <c r="D20" s="6">
        <v>6</v>
      </c>
      <c r="E20" s="1">
        <f>SUMIF(Vm!$C:$C,$A20,Vm!$F:$F)</f>
        <v>2</v>
      </c>
      <c r="F20" s="22">
        <f t="shared" si="0"/>
        <v>4</v>
      </c>
      <c r="G20" s="1" t="s">
        <v>584</v>
      </c>
      <c r="M20"/>
    </row>
    <row r="21" spans="1:13" x14ac:dyDescent="0.25">
      <c r="A21" s="59" t="s">
        <v>97</v>
      </c>
      <c r="B21" s="6" t="s">
        <v>389</v>
      </c>
      <c r="C21" s="1" t="s">
        <v>53</v>
      </c>
      <c r="D21" s="6">
        <v>5</v>
      </c>
      <c r="E21" s="1">
        <f>SUMIF(Vm!$C:$C,$A21,Vm!$F:$F)</f>
        <v>0</v>
      </c>
      <c r="F21" s="22">
        <f t="shared" si="0"/>
        <v>5</v>
      </c>
      <c r="G21" s="1" t="s">
        <v>584</v>
      </c>
      <c r="M21"/>
    </row>
    <row r="22" spans="1:13" x14ac:dyDescent="0.25">
      <c r="A22" s="59" t="s">
        <v>66</v>
      </c>
      <c r="B22" s="6" t="s">
        <v>21</v>
      </c>
      <c r="C22" s="1" t="s">
        <v>53</v>
      </c>
      <c r="D22" s="6">
        <v>8</v>
      </c>
      <c r="E22" s="1">
        <f>SUMIF(Vm!$C:$C,$A22,Vm!$F:$F)</f>
        <v>0</v>
      </c>
      <c r="F22" s="22">
        <f t="shared" si="0"/>
        <v>8</v>
      </c>
      <c r="G22" s="1" t="s">
        <v>584</v>
      </c>
      <c r="M22"/>
    </row>
    <row r="23" spans="1:13" x14ac:dyDescent="0.25">
      <c r="A23" s="59" t="s">
        <v>86</v>
      </c>
      <c r="B23" s="6" t="s">
        <v>358</v>
      </c>
      <c r="C23" s="1" t="s">
        <v>53</v>
      </c>
      <c r="D23" s="6">
        <v>9</v>
      </c>
      <c r="E23" s="1">
        <f>SUMIF(Vm!$C:$C,$A23,Vm!$F:$F)</f>
        <v>0</v>
      </c>
      <c r="F23" s="22">
        <f t="shared" si="0"/>
        <v>9</v>
      </c>
      <c r="G23" s="1" t="s">
        <v>584</v>
      </c>
      <c r="M23"/>
    </row>
    <row r="24" spans="1:13" x14ac:dyDescent="0.25">
      <c r="A24" s="59" t="s">
        <v>98</v>
      </c>
      <c r="B24" s="6" t="s">
        <v>390</v>
      </c>
      <c r="C24" s="1" t="s">
        <v>53</v>
      </c>
      <c r="D24" s="6">
        <v>5</v>
      </c>
      <c r="E24" s="1">
        <f>SUMIF(Vm!$C:$C,$A24,Vm!$F:$F)</f>
        <v>0</v>
      </c>
      <c r="F24" s="22">
        <f t="shared" si="0"/>
        <v>5</v>
      </c>
      <c r="G24" s="1" t="s">
        <v>584</v>
      </c>
      <c r="M24"/>
    </row>
    <row r="25" spans="1:13" x14ac:dyDescent="0.25">
      <c r="A25" s="59" t="s">
        <v>67</v>
      </c>
      <c r="B25" s="6" t="s">
        <v>22</v>
      </c>
      <c r="C25" s="1" t="s">
        <v>53</v>
      </c>
      <c r="D25" s="6">
        <v>6</v>
      </c>
      <c r="E25" s="1">
        <f>SUMIF(Vm!$C:$C,$A25,Vm!$F:$F)</f>
        <v>1</v>
      </c>
      <c r="F25" s="22">
        <f t="shared" si="0"/>
        <v>5</v>
      </c>
      <c r="G25" s="1" t="s">
        <v>584</v>
      </c>
      <c r="M25"/>
    </row>
    <row r="26" spans="1:13" x14ac:dyDescent="0.25">
      <c r="A26" s="59" t="s">
        <v>99</v>
      </c>
      <c r="B26" s="6" t="s">
        <v>387</v>
      </c>
      <c r="C26" s="1" t="s">
        <v>53</v>
      </c>
      <c r="D26" s="6">
        <v>8</v>
      </c>
      <c r="E26" s="1">
        <f>SUMIF(Vm!$C:$C,$A26,Vm!$F:$F)</f>
        <v>2</v>
      </c>
      <c r="F26" s="22">
        <f t="shared" si="0"/>
        <v>6</v>
      </c>
      <c r="G26" s="1" t="s">
        <v>584</v>
      </c>
      <c r="M26"/>
    </row>
    <row r="27" spans="1:13" x14ac:dyDescent="0.25">
      <c r="A27" s="59" t="s">
        <v>100</v>
      </c>
      <c r="B27" s="6" t="s">
        <v>386</v>
      </c>
      <c r="C27" s="1" t="s">
        <v>53</v>
      </c>
      <c r="D27" s="6">
        <v>5</v>
      </c>
      <c r="E27" s="1">
        <f>SUMIF(Vm!$C:$C,$A27,Vm!$F:$F)</f>
        <v>2</v>
      </c>
      <c r="F27" s="22">
        <f t="shared" si="0"/>
        <v>3</v>
      </c>
      <c r="G27" s="1" t="s">
        <v>584</v>
      </c>
      <c r="M27"/>
    </row>
    <row r="28" spans="1:13" x14ac:dyDescent="0.25">
      <c r="A28" s="59" t="s">
        <v>68</v>
      </c>
      <c r="B28" s="6" t="s">
        <v>341</v>
      </c>
      <c r="C28" s="1" t="s">
        <v>53</v>
      </c>
      <c r="D28" s="6">
        <v>3</v>
      </c>
      <c r="E28" s="1">
        <f>SUMIF(Vm!$C:$C,$A28,Vm!$F:$F)</f>
        <v>0</v>
      </c>
      <c r="F28" s="22">
        <f t="shared" si="0"/>
        <v>3</v>
      </c>
      <c r="G28" s="1" t="s">
        <v>584</v>
      </c>
      <c r="M28"/>
    </row>
    <row r="29" spans="1:13" x14ac:dyDescent="0.25">
      <c r="A29" s="59" t="s">
        <v>101</v>
      </c>
      <c r="B29" s="6" t="s">
        <v>385</v>
      </c>
      <c r="C29" s="1" t="s">
        <v>53</v>
      </c>
      <c r="D29" s="6">
        <v>7</v>
      </c>
      <c r="E29" s="1">
        <f>SUMIF(Vm!$C:$C,$A29,Vm!$F:$F)</f>
        <v>0</v>
      </c>
      <c r="F29" s="22">
        <f t="shared" si="0"/>
        <v>7</v>
      </c>
      <c r="G29" s="1" t="s">
        <v>584</v>
      </c>
      <c r="M29"/>
    </row>
    <row r="30" spans="1:13" x14ac:dyDescent="0.25">
      <c r="A30" s="59" t="s">
        <v>87</v>
      </c>
      <c r="B30" s="6" t="s">
        <v>359</v>
      </c>
      <c r="C30" s="1" t="s">
        <v>53</v>
      </c>
      <c r="D30" s="6">
        <v>7</v>
      </c>
      <c r="E30" s="1">
        <f>SUMIF(Vm!$C:$C,$A30,Vm!$F:$F)</f>
        <v>0</v>
      </c>
      <c r="F30" s="22">
        <f t="shared" si="0"/>
        <v>7</v>
      </c>
      <c r="G30" s="1" t="s">
        <v>584</v>
      </c>
      <c r="M30"/>
    </row>
    <row r="31" spans="1:13" x14ac:dyDescent="0.25">
      <c r="A31" s="59" t="s">
        <v>69</v>
      </c>
      <c r="B31" s="6" t="s">
        <v>342</v>
      </c>
      <c r="C31" s="1" t="s">
        <v>53</v>
      </c>
      <c r="D31" s="6">
        <v>11</v>
      </c>
      <c r="E31" s="1">
        <f>SUMIF(Vm!$C:$C,$A31,Vm!$F:$F)</f>
        <v>0</v>
      </c>
      <c r="F31" s="22">
        <f t="shared" si="0"/>
        <v>11</v>
      </c>
      <c r="G31" s="1" t="s">
        <v>584</v>
      </c>
      <c r="M31"/>
    </row>
    <row r="32" spans="1:13" x14ac:dyDescent="0.25">
      <c r="A32" s="59" t="s">
        <v>278</v>
      </c>
      <c r="B32" s="6" t="s">
        <v>279</v>
      </c>
      <c r="C32" s="1" t="s">
        <v>53</v>
      </c>
      <c r="D32" s="6">
        <v>6</v>
      </c>
      <c r="E32" s="1">
        <f>SUMIF(Vm!$C:$C,$A32,Vm!$F:$F)</f>
        <v>0</v>
      </c>
      <c r="F32" s="22">
        <f t="shared" si="0"/>
        <v>6</v>
      </c>
      <c r="G32" s="1" t="s">
        <v>584</v>
      </c>
      <c r="M32"/>
    </row>
    <row r="33" spans="1:13" x14ac:dyDescent="0.25">
      <c r="A33" s="59" t="s">
        <v>116</v>
      </c>
      <c r="B33" s="6" t="s">
        <v>370</v>
      </c>
      <c r="C33" s="1" t="s">
        <v>53</v>
      </c>
      <c r="D33" s="6">
        <v>7</v>
      </c>
      <c r="E33" s="1">
        <f>SUMIF(Vm!$C:$C,$A33,Vm!$F:$F)</f>
        <v>0</v>
      </c>
      <c r="F33" s="22">
        <f t="shared" si="0"/>
        <v>7</v>
      </c>
      <c r="G33" s="1" t="s">
        <v>584</v>
      </c>
      <c r="M33"/>
    </row>
    <row r="34" spans="1:13" x14ac:dyDescent="0.25">
      <c r="A34" s="59" t="s">
        <v>102</v>
      </c>
      <c r="B34" s="6" t="s">
        <v>384</v>
      </c>
      <c r="C34" s="1" t="s">
        <v>53</v>
      </c>
      <c r="D34" s="6">
        <v>9</v>
      </c>
      <c r="E34" s="1">
        <f>SUMIF(Vm!$C:$C,$A34,Vm!$F:$F)</f>
        <v>0</v>
      </c>
      <c r="F34" s="22">
        <f t="shared" si="0"/>
        <v>9</v>
      </c>
      <c r="G34" s="1" t="s">
        <v>584</v>
      </c>
      <c r="M34"/>
    </row>
    <row r="35" spans="1:13" x14ac:dyDescent="0.25">
      <c r="A35" s="59" t="s">
        <v>70</v>
      </c>
      <c r="B35" s="6" t="s">
        <v>343</v>
      </c>
      <c r="C35" s="1" t="s">
        <v>53</v>
      </c>
      <c r="D35" s="6">
        <v>7</v>
      </c>
      <c r="E35" s="1">
        <f>SUMIF(Vm!$C:$C,$A35,Vm!$F:$F)</f>
        <v>0</v>
      </c>
      <c r="F35" s="22">
        <f t="shared" si="0"/>
        <v>7</v>
      </c>
      <c r="G35" s="1" t="s">
        <v>584</v>
      </c>
      <c r="M35"/>
    </row>
    <row r="36" spans="1:13" x14ac:dyDescent="0.25">
      <c r="A36" s="59" t="s">
        <v>62</v>
      </c>
      <c r="B36" s="6" t="s">
        <v>17</v>
      </c>
      <c r="C36" s="1" t="s">
        <v>53</v>
      </c>
      <c r="D36" s="6">
        <v>9</v>
      </c>
      <c r="E36" s="1">
        <f>SUMIF(Vm!$C:$C,$A36,Vm!$F:$F)</f>
        <v>0</v>
      </c>
      <c r="F36" s="22">
        <f t="shared" si="0"/>
        <v>9</v>
      </c>
      <c r="G36" s="1" t="s">
        <v>584</v>
      </c>
      <c r="M36"/>
    </row>
    <row r="37" spans="1:13" x14ac:dyDescent="0.25">
      <c r="A37" s="59" t="s">
        <v>71</v>
      </c>
      <c r="B37" s="6" t="s">
        <v>344</v>
      </c>
      <c r="C37" s="1" t="s">
        <v>53</v>
      </c>
      <c r="D37" s="6">
        <v>6</v>
      </c>
      <c r="E37" s="1">
        <f>SUMIF(Vm!$C:$C,$A37,Vm!$F:$F)</f>
        <v>0</v>
      </c>
      <c r="F37" s="22">
        <f t="shared" si="0"/>
        <v>6</v>
      </c>
      <c r="G37" s="1" t="s">
        <v>584</v>
      </c>
      <c r="M37"/>
    </row>
    <row r="38" spans="1:13" x14ac:dyDescent="0.25">
      <c r="A38" s="59" t="s">
        <v>117</v>
      </c>
      <c r="B38" s="6" t="s">
        <v>369</v>
      </c>
      <c r="C38" s="1" t="s">
        <v>53</v>
      </c>
      <c r="D38" s="6">
        <v>11</v>
      </c>
      <c r="E38" s="1">
        <f>SUMIF(Vm!$C:$C,$A38,Vm!$F:$F)</f>
        <v>0</v>
      </c>
      <c r="F38" s="22">
        <f t="shared" si="0"/>
        <v>11</v>
      </c>
      <c r="G38" s="1" t="s">
        <v>584</v>
      </c>
      <c r="M38"/>
    </row>
    <row r="39" spans="1:13" x14ac:dyDescent="0.25">
      <c r="A39" s="59" t="s">
        <v>72</v>
      </c>
      <c r="B39" s="6" t="s">
        <v>345</v>
      </c>
      <c r="C39" s="1" t="s">
        <v>53</v>
      </c>
      <c r="D39" s="6">
        <v>5</v>
      </c>
      <c r="E39" s="1">
        <f>SUMIF(Vm!$C:$C,$A39,Vm!$F:$F)</f>
        <v>0</v>
      </c>
      <c r="F39" s="22">
        <f t="shared" si="0"/>
        <v>5</v>
      </c>
      <c r="G39" s="1" t="s">
        <v>584</v>
      </c>
      <c r="M39"/>
    </row>
    <row r="40" spans="1:13" x14ac:dyDescent="0.25">
      <c r="A40" s="59" t="s">
        <v>73</v>
      </c>
      <c r="B40" s="6" t="s">
        <v>346</v>
      </c>
      <c r="C40" s="1" t="s">
        <v>53</v>
      </c>
      <c r="D40" s="6">
        <v>5</v>
      </c>
      <c r="E40" s="1">
        <f>SUMIF(Vm!$C:$C,$A40,Vm!$F:$F)</f>
        <v>0</v>
      </c>
      <c r="F40" s="22">
        <f t="shared" si="0"/>
        <v>5</v>
      </c>
      <c r="G40" s="1" t="s">
        <v>584</v>
      </c>
      <c r="M40"/>
    </row>
    <row r="41" spans="1:13" x14ac:dyDescent="0.25">
      <c r="A41" s="59" t="s">
        <v>321</v>
      </c>
      <c r="B41" s="6" t="s">
        <v>364</v>
      </c>
      <c r="C41" s="1" t="s">
        <v>53</v>
      </c>
      <c r="D41" s="6">
        <v>10</v>
      </c>
      <c r="E41" s="1">
        <f>SUMIF(Vm!$C:$C,$A41,Vm!$F:$F)</f>
        <v>1</v>
      </c>
      <c r="F41" s="22">
        <f t="shared" ref="F41:F72" si="1">SUM(D41-E41)</f>
        <v>9</v>
      </c>
      <c r="G41" s="1" t="s">
        <v>584</v>
      </c>
      <c r="M41"/>
    </row>
    <row r="42" spans="1:13" x14ac:dyDescent="0.25">
      <c r="A42" s="59" t="s">
        <v>276</v>
      </c>
      <c r="B42" s="6" t="s">
        <v>277</v>
      </c>
      <c r="C42" s="1" t="s">
        <v>53</v>
      </c>
      <c r="D42" s="6">
        <v>5</v>
      </c>
      <c r="E42" s="1">
        <f>SUMIF(Vm!$C:$C,$A42,Vm!$F:$F)</f>
        <v>0</v>
      </c>
      <c r="F42" s="22">
        <f t="shared" si="1"/>
        <v>5</v>
      </c>
      <c r="G42" s="1" t="s">
        <v>584</v>
      </c>
      <c r="M42"/>
    </row>
    <row r="43" spans="1:13" x14ac:dyDescent="0.25">
      <c r="A43" s="59" t="s">
        <v>103</v>
      </c>
      <c r="B43" s="6" t="s">
        <v>383</v>
      </c>
      <c r="C43" s="1" t="s">
        <v>53</v>
      </c>
      <c r="D43" s="6">
        <v>3</v>
      </c>
      <c r="E43" s="1">
        <f>SUMIF(Vm!$C:$C,$A43,Vm!$F:$F)</f>
        <v>0</v>
      </c>
      <c r="F43" s="22">
        <f t="shared" si="1"/>
        <v>3</v>
      </c>
      <c r="G43" s="1" t="s">
        <v>584</v>
      </c>
      <c r="M43"/>
    </row>
    <row r="44" spans="1:13" x14ac:dyDescent="0.25">
      <c r="A44" s="59" t="s">
        <v>74</v>
      </c>
      <c r="B44" s="6" t="s">
        <v>347</v>
      </c>
      <c r="C44" s="1" t="s">
        <v>53</v>
      </c>
      <c r="D44" s="6">
        <v>8</v>
      </c>
      <c r="E44" s="1">
        <f>SUMIF(Vm!$C:$C,$A44,Vm!$F:$F)</f>
        <v>2</v>
      </c>
      <c r="F44" s="22">
        <f t="shared" si="1"/>
        <v>6</v>
      </c>
      <c r="G44" s="1" t="s">
        <v>584</v>
      </c>
      <c r="M44"/>
    </row>
    <row r="45" spans="1:13" x14ac:dyDescent="0.25">
      <c r="A45" s="59" t="s">
        <v>104</v>
      </c>
      <c r="B45" s="6" t="s">
        <v>382</v>
      </c>
      <c r="C45" s="1" t="s">
        <v>53</v>
      </c>
      <c r="D45" s="6">
        <v>3</v>
      </c>
      <c r="E45" s="1">
        <f>SUMIF(Vm!$C:$C,$A45,Vm!$F:$F)</f>
        <v>0</v>
      </c>
      <c r="F45" s="22">
        <f t="shared" si="1"/>
        <v>3</v>
      </c>
      <c r="G45" s="1" t="s">
        <v>584</v>
      </c>
      <c r="M45"/>
    </row>
    <row r="46" spans="1:13" x14ac:dyDescent="0.25">
      <c r="A46" s="59" t="s">
        <v>105</v>
      </c>
      <c r="B46" s="6" t="s">
        <v>381</v>
      </c>
      <c r="C46" s="1" t="s">
        <v>53</v>
      </c>
      <c r="D46" s="6">
        <v>7</v>
      </c>
      <c r="E46" s="1">
        <f>SUMIF(Vm!$C:$C,$A46,Vm!$F:$F)</f>
        <v>0</v>
      </c>
      <c r="F46" s="22">
        <f t="shared" si="1"/>
        <v>7</v>
      </c>
      <c r="G46" s="1" t="s">
        <v>590</v>
      </c>
      <c r="M46"/>
    </row>
    <row r="47" spans="1:13" x14ac:dyDescent="0.25">
      <c r="A47" s="59" t="s">
        <v>75</v>
      </c>
      <c r="B47" s="6" t="s">
        <v>348</v>
      </c>
      <c r="C47" s="1" t="s">
        <v>53</v>
      </c>
      <c r="D47" s="6">
        <v>8</v>
      </c>
      <c r="E47" s="1">
        <f>SUMIF(Vm!$C:$C,$A47,Vm!$F:$F)</f>
        <v>2</v>
      </c>
      <c r="F47" s="22">
        <f t="shared" si="1"/>
        <v>6</v>
      </c>
      <c r="G47" s="1" t="s">
        <v>584</v>
      </c>
      <c r="M47"/>
    </row>
    <row r="48" spans="1:13" x14ac:dyDescent="0.25">
      <c r="A48" s="59" t="s">
        <v>106</v>
      </c>
      <c r="B48" s="6" t="s">
        <v>380</v>
      </c>
      <c r="C48" s="1" t="s">
        <v>53</v>
      </c>
      <c r="D48" s="6">
        <v>4</v>
      </c>
      <c r="E48" s="1">
        <f>SUMIF(Vm!$C:$C,$A48,Vm!$F:$F)</f>
        <v>0</v>
      </c>
      <c r="F48" s="22">
        <f t="shared" si="1"/>
        <v>4</v>
      </c>
      <c r="G48" s="1" t="s">
        <v>584</v>
      </c>
      <c r="M48"/>
    </row>
    <row r="49" spans="1:13" x14ac:dyDescent="0.25">
      <c r="A49" s="59" t="s">
        <v>77</v>
      </c>
      <c r="B49" s="6" t="s">
        <v>349</v>
      </c>
      <c r="C49" s="1" t="s">
        <v>53</v>
      </c>
      <c r="D49" s="6">
        <v>8</v>
      </c>
      <c r="E49" s="1">
        <f>SUMIF(Vm!$C:$C,$A49,Vm!$F:$F)</f>
        <v>2</v>
      </c>
      <c r="F49" s="22">
        <f t="shared" si="1"/>
        <v>6</v>
      </c>
      <c r="G49" s="1" t="s">
        <v>584</v>
      </c>
      <c r="M49"/>
    </row>
    <row r="50" spans="1:13" x14ac:dyDescent="0.25">
      <c r="A50" s="59" t="s">
        <v>76</v>
      </c>
      <c r="B50" s="6" t="s">
        <v>399</v>
      </c>
      <c r="C50" s="1" t="s">
        <v>53</v>
      </c>
      <c r="D50" s="6">
        <v>7</v>
      </c>
      <c r="E50" s="1">
        <f>SUMIF(Vm!$C:$C,$A50,Vm!$F:$F)</f>
        <v>2</v>
      </c>
      <c r="F50" s="22">
        <f t="shared" si="1"/>
        <v>5</v>
      </c>
      <c r="G50" s="1" t="s">
        <v>584</v>
      </c>
      <c r="M50"/>
    </row>
    <row r="51" spans="1:13" x14ac:dyDescent="0.25">
      <c r="A51" s="59" t="s">
        <v>78</v>
      </c>
      <c r="B51" s="6" t="s">
        <v>350</v>
      </c>
      <c r="C51" s="1" t="s">
        <v>53</v>
      </c>
      <c r="D51" s="6">
        <v>6</v>
      </c>
      <c r="E51" s="1">
        <f>SUMIF(Vm!$C:$C,$A51,Vm!$F:$F)</f>
        <v>0</v>
      </c>
      <c r="F51" s="22">
        <f t="shared" si="1"/>
        <v>6</v>
      </c>
      <c r="G51" s="1" t="s">
        <v>584</v>
      </c>
      <c r="M51"/>
    </row>
    <row r="52" spans="1:13" x14ac:dyDescent="0.25">
      <c r="A52" s="59" t="s">
        <v>79</v>
      </c>
      <c r="B52" s="6" t="s">
        <v>351</v>
      </c>
      <c r="C52" s="1" t="s">
        <v>53</v>
      </c>
      <c r="D52" s="6">
        <v>3</v>
      </c>
      <c r="E52" s="1">
        <f>SUMIF(Vm!$C:$C,$A52,Vm!$F:$F)</f>
        <v>0</v>
      </c>
      <c r="F52" s="22">
        <f t="shared" si="1"/>
        <v>3</v>
      </c>
      <c r="G52" s="1" t="s">
        <v>584</v>
      </c>
      <c r="M52"/>
    </row>
    <row r="53" spans="1:13" x14ac:dyDescent="0.25">
      <c r="A53" s="59" t="s">
        <v>113</v>
      </c>
      <c r="B53" s="6" t="s">
        <v>373</v>
      </c>
      <c r="C53" s="1" t="s">
        <v>53</v>
      </c>
      <c r="D53" s="6">
        <v>7</v>
      </c>
      <c r="E53" s="1">
        <f>SUMIF(Vm!$C:$C,$A53,Vm!$F:$F)</f>
        <v>3</v>
      </c>
      <c r="F53" s="22">
        <f t="shared" si="1"/>
        <v>4</v>
      </c>
      <c r="G53" s="1" t="s">
        <v>584</v>
      </c>
      <c r="M53"/>
    </row>
    <row r="54" spans="1:13" x14ac:dyDescent="0.25">
      <c r="A54" s="59" t="s">
        <v>107</v>
      </c>
      <c r="B54" s="6" t="s">
        <v>379</v>
      </c>
      <c r="C54" s="1" t="s">
        <v>53</v>
      </c>
      <c r="D54" s="6">
        <v>6</v>
      </c>
      <c r="E54" s="1">
        <f>SUMIF(Vm!$C:$C,$A54,Vm!$F:$F)</f>
        <v>0</v>
      </c>
      <c r="F54" s="22">
        <f t="shared" si="1"/>
        <v>6</v>
      </c>
      <c r="G54" s="1" t="s">
        <v>584</v>
      </c>
      <c r="M54"/>
    </row>
    <row r="55" spans="1:13" x14ac:dyDescent="0.25">
      <c r="A55" s="59" t="s">
        <v>80</v>
      </c>
      <c r="B55" s="6" t="s">
        <v>352</v>
      </c>
      <c r="C55" s="1" t="s">
        <v>53</v>
      </c>
      <c r="D55" s="6">
        <v>4</v>
      </c>
      <c r="E55" s="1">
        <f>SUMIF(Vm!$C:$C,$A55,Vm!$F:$F)</f>
        <v>2</v>
      </c>
      <c r="F55" s="22">
        <f t="shared" si="1"/>
        <v>2</v>
      </c>
      <c r="G55" s="1" t="s">
        <v>584</v>
      </c>
      <c r="M55"/>
    </row>
    <row r="56" spans="1:13" x14ac:dyDescent="0.25">
      <c r="A56" s="59" t="s">
        <v>114</v>
      </c>
      <c r="B56" s="6" t="s">
        <v>372</v>
      </c>
      <c r="C56" s="1" t="s">
        <v>53</v>
      </c>
      <c r="D56" s="6">
        <v>6</v>
      </c>
      <c r="E56" s="1">
        <f>SUMIF(Vm!$C:$C,$A56,Vm!$F:$F)</f>
        <v>1</v>
      </c>
      <c r="F56" s="22">
        <f t="shared" si="1"/>
        <v>5</v>
      </c>
      <c r="G56" s="1" t="s">
        <v>584</v>
      </c>
      <c r="M56"/>
    </row>
    <row r="57" spans="1:13" x14ac:dyDescent="0.25">
      <c r="A57" s="59" t="s">
        <v>88</v>
      </c>
      <c r="B57" s="6" t="s">
        <v>393</v>
      </c>
      <c r="C57" s="1" t="s">
        <v>53</v>
      </c>
      <c r="D57" s="6">
        <v>4</v>
      </c>
      <c r="E57" s="1">
        <f>SUMIF(Vm!$C:$C,$A57,Vm!$F:$F)</f>
        <v>0</v>
      </c>
      <c r="F57" s="22">
        <f t="shared" si="1"/>
        <v>4</v>
      </c>
      <c r="G57" s="1" t="s">
        <v>584</v>
      </c>
      <c r="M57"/>
    </row>
    <row r="58" spans="1:13" x14ac:dyDescent="0.25">
      <c r="A58" s="59" t="s">
        <v>322</v>
      </c>
      <c r="B58" s="6" t="s">
        <v>363</v>
      </c>
      <c r="C58" s="1" t="s">
        <v>53</v>
      </c>
      <c r="D58" s="6">
        <v>8</v>
      </c>
      <c r="E58" s="1">
        <f>SUMIF(Vm!$C:$C,$A58,Vm!$F:$F)</f>
        <v>3</v>
      </c>
      <c r="F58" s="22">
        <f t="shared" si="1"/>
        <v>5</v>
      </c>
      <c r="G58" s="1" t="s">
        <v>584</v>
      </c>
      <c r="M58"/>
    </row>
    <row r="59" spans="1:13" x14ac:dyDescent="0.25">
      <c r="A59" s="59" t="s">
        <v>108</v>
      </c>
      <c r="B59" s="6" t="s">
        <v>378</v>
      </c>
      <c r="C59" s="1" t="s">
        <v>53</v>
      </c>
      <c r="D59" s="6">
        <v>7</v>
      </c>
      <c r="E59" s="1">
        <f>SUMIF(Vm!$C:$C,$A59,Vm!$F:$F)</f>
        <v>1</v>
      </c>
      <c r="F59" s="22">
        <f t="shared" si="1"/>
        <v>6</v>
      </c>
      <c r="G59" s="1" t="s">
        <v>584</v>
      </c>
      <c r="M59"/>
    </row>
    <row r="60" spans="1:13" x14ac:dyDescent="0.25">
      <c r="A60" s="59" t="s">
        <v>323</v>
      </c>
      <c r="B60" s="6" t="s">
        <v>362</v>
      </c>
      <c r="C60" s="1" t="s">
        <v>53</v>
      </c>
      <c r="D60" s="6">
        <v>11</v>
      </c>
      <c r="E60" s="1">
        <f>SUMIF(Vm!$C:$C,$A60,Vm!$F:$F)</f>
        <v>0</v>
      </c>
      <c r="F60" s="22">
        <f t="shared" si="1"/>
        <v>11</v>
      </c>
      <c r="G60" s="1" t="s">
        <v>584</v>
      </c>
      <c r="M60"/>
    </row>
    <row r="61" spans="1:13" x14ac:dyDescent="0.25">
      <c r="A61" s="59" t="s">
        <v>81</v>
      </c>
      <c r="B61" s="6" t="s">
        <v>353</v>
      </c>
      <c r="C61" s="1" t="s">
        <v>53</v>
      </c>
      <c r="D61" s="6">
        <v>9</v>
      </c>
      <c r="E61" s="1">
        <f>SUMIF(Vm!$C:$C,$A61,Vm!$F:$F)</f>
        <v>2</v>
      </c>
      <c r="F61" s="22">
        <f t="shared" si="1"/>
        <v>7</v>
      </c>
      <c r="G61" s="1" t="s">
        <v>584</v>
      </c>
      <c r="M61"/>
    </row>
    <row r="62" spans="1:13" x14ac:dyDescent="0.25">
      <c r="A62" s="59" t="s">
        <v>118</v>
      </c>
      <c r="B62" s="6" t="s">
        <v>368</v>
      </c>
      <c r="C62" s="1" t="s">
        <v>53</v>
      </c>
      <c r="D62" s="6">
        <v>5</v>
      </c>
      <c r="E62" s="1">
        <f>SUMIF(Vm!$C:$C,$A62,Vm!$F:$F)</f>
        <v>3</v>
      </c>
      <c r="F62" s="22">
        <f t="shared" si="1"/>
        <v>2</v>
      </c>
      <c r="G62" s="1" t="s">
        <v>584</v>
      </c>
      <c r="M62"/>
    </row>
    <row r="63" spans="1:13" x14ac:dyDescent="0.25">
      <c r="A63" s="59" t="s">
        <v>109</v>
      </c>
      <c r="B63" s="6" t="s">
        <v>377</v>
      </c>
      <c r="C63" s="1" t="s">
        <v>53</v>
      </c>
      <c r="D63" s="6">
        <v>9</v>
      </c>
      <c r="E63" s="1">
        <f>SUMIF(Vm!$C:$C,$A63,Vm!$F:$F)</f>
        <v>4</v>
      </c>
      <c r="F63" s="22">
        <f t="shared" si="1"/>
        <v>5</v>
      </c>
      <c r="G63" s="1" t="s">
        <v>584</v>
      </c>
      <c r="M63"/>
    </row>
    <row r="64" spans="1:13" x14ac:dyDescent="0.25">
      <c r="A64" s="59" t="s">
        <v>115</v>
      </c>
      <c r="B64" s="6" t="s">
        <v>371</v>
      </c>
      <c r="C64" s="1" t="s">
        <v>53</v>
      </c>
      <c r="D64" s="6">
        <v>9</v>
      </c>
      <c r="E64" s="1">
        <f>SUMIF(Vm!$C:$C,$A64,Vm!$F:$F)</f>
        <v>3</v>
      </c>
      <c r="F64" s="22">
        <f t="shared" si="1"/>
        <v>6</v>
      </c>
      <c r="G64" s="1" t="s">
        <v>584</v>
      </c>
      <c r="M64"/>
    </row>
    <row r="65" spans="1:13" x14ac:dyDescent="0.25">
      <c r="A65" s="59" t="s">
        <v>110</v>
      </c>
      <c r="B65" s="6" t="s">
        <v>376</v>
      </c>
      <c r="C65" s="1" t="s">
        <v>53</v>
      </c>
      <c r="D65" s="6">
        <v>6</v>
      </c>
      <c r="E65" s="1">
        <f>SUMIF(Vm!$C:$C,$A65,Vm!$F:$F)</f>
        <v>4</v>
      </c>
      <c r="F65" s="22">
        <f t="shared" si="1"/>
        <v>2</v>
      </c>
      <c r="G65" s="1" t="s">
        <v>584</v>
      </c>
      <c r="M65"/>
    </row>
    <row r="66" spans="1:13" x14ac:dyDescent="0.25">
      <c r="A66" s="59" t="s">
        <v>111</v>
      </c>
      <c r="B66" s="6" t="s">
        <v>375</v>
      </c>
      <c r="C66" s="1" t="s">
        <v>53</v>
      </c>
      <c r="D66" s="6">
        <v>6</v>
      </c>
      <c r="E66" s="1">
        <f>SUMIF(Vm!$C:$C,$A66,Vm!$F:$F)</f>
        <v>0</v>
      </c>
      <c r="F66" s="22">
        <f t="shared" si="1"/>
        <v>6</v>
      </c>
      <c r="G66" s="1" t="s">
        <v>584</v>
      </c>
      <c r="M66"/>
    </row>
    <row r="67" spans="1:13" x14ac:dyDescent="0.25">
      <c r="A67" s="59" t="s">
        <v>119</v>
      </c>
      <c r="B67" s="6" t="s">
        <v>367</v>
      </c>
      <c r="C67" s="1" t="s">
        <v>53</v>
      </c>
      <c r="D67" s="6">
        <v>8</v>
      </c>
      <c r="E67" s="1">
        <f>SUMIF(Vm!$C:$C,$A67,Vm!$F:$F)</f>
        <v>1</v>
      </c>
      <c r="F67" s="22">
        <f t="shared" si="1"/>
        <v>7</v>
      </c>
      <c r="G67" s="1" t="s">
        <v>584</v>
      </c>
      <c r="M67"/>
    </row>
    <row r="68" spans="1:13" x14ac:dyDescent="0.25">
      <c r="A68" s="59" t="s">
        <v>82</v>
      </c>
      <c r="B68" s="6" t="s">
        <v>354</v>
      </c>
      <c r="C68" s="1" t="s">
        <v>53</v>
      </c>
      <c r="D68" s="6">
        <v>5</v>
      </c>
      <c r="E68" s="1">
        <f>SUMIF(Vm!$C:$C,$A68,Vm!$F:$F)</f>
        <v>0</v>
      </c>
      <c r="F68" s="22">
        <f t="shared" si="1"/>
        <v>5</v>
      </c>
      <c r="G68" s="1" t="s">
        <v>584</v>
      </c>
      <c r="M68"/>
    </row>
    <row r="69" spans="1:13" x14ac:dyDescent="0.25">
      <c r="A69" s="59" t="s">
        <v>83</v>
      </c>
      <c r="B69" s="6" t="s">
        <v>355</v>
      </c>
      <c r="C69" s="1" t="s">
        <v>53</v>
      </c>
      <c r="D69" s="6">
        <v>6</v>
      </c>
      <c r="E69" s="1">
        <f>SUMIF(Vm!$C:$C,$A69,Vm!$F:$F)</f>
        <v>2</v>
      </c>
      <c r="F69" s="22">
        <f t="shared" si="1"/>
        <v>4</v>
      </c>
      <c r="G69" s="1" t="s">
        <v>584</v>
      </c>
      <c r="M69"/>
    </row>
    <row r="70" spans="1:13" x14ac:dyDescent="0.25">
      <c r="A70" s="59" t="s">
        <v>112</v>
      </c>
      <c r="B70" s="6" t="s">
        <v>374</v>
      </c>
      <c r="C70" s="1" t="s">
        <v>53</v>
      </c>
      <c r="D70" s="6">
        <v>8</v>
      </c>
      <c r="E70" s="1">
        <f>SUMIF(Vm!$C:$C,$A70,Vm!$F:$F)</f>
        <v>0</v>
      </c>
      <c r="F70" s="22">
        <f t="shared" si="1"/>
        <v>8</v>
      </c>
      <c r="G70" s="1" t="s">
        <v>584</v>
      </c>
      <c r="M70"/>
    </row>
    <row r="71" spans="1:13" x14ac:dyDescent="0.25">
      <c r="A71" s="59" t="s">
        <v>89</v>
      </c>
      <c r="B71" s="6" t="s">
        <v>394</v>
      </c>
      <c r="C71" s="1" t="s">
        <v>53</v>
      </c>
      <c r="D71" s="6">
        <v>3</v>
      </c>
      <c r="E71" s="1">
        <f>SUMIF(Vm!$C:$C,$A71,Vm!$F:$F)</f>
        <v>0</v>
      </c>
      <c r="F71" s="22">
        <f t="shared" si="1"/>
        <v>3</v>
      </c>
      <c r="G71" s="1" t="s">
        <v>584</v>
      </c>
      <c r="M71"/>
    </row>
    <row r="72" spans="1:13" x14ac:dyDescent="0.25">
      <c r="A72" s="59" t="s">
        <v>84</v>
      </c>
      <c r="B72" s="6" t="s">
        <v>356</v>
      </c>
      <c r="C72" s="1" t="s">
        <v>53</v>
      </c>
      <c r="D72" s="6">
        <v>6</v>
      </c>
      <c r="E72" s="1">
        <f>SUMIF(Vm!$C:$C,$A72,Vm!$F:$F)</f>
        <v>0</v>
      </c>
      <c r="F72" s="22">
        <f t="shared" si="1"/>
        <v>6</v>
      </c>
      <c r="G72" s="1" t="s">
        <v>584</v>
      </c>
      <c r="M72"/>
    </row>
    <row r="73" spans="1:13" x14ac:dyDescent="0.25">
      <c r="A73" s="59" t="s">
        <v>85</v>
      </c>
      <c r="B73" s="6" t="s">
        <v>357</v>
      </c>
      <c r="C73" s="1" t="s">
        <v>53</v>
      </c>
      <c r="D73" s="6">
        <v>8</v>
      </c>
      <c r="E73" s="1">
        <f>SUMIF(Vm!$C:$C,$A73,Vm!$F:$F)</f>
        <v>0</v>
      </c>
      <c r="F73" s="22">
        <f t="shared" ref="F73:F77" si="2">SUM(D73-E73)</f>
        <v>8</v>
      </c>
      <c r="G73" s="1" t="s">
        <v>584</v>
      </c>
      <c r="M73"/>
    </row>
    <row r="74" spans="1:13" x14ac:dyDescent="0.25">
      <c r="A74" s="59" t="s">
        <v>273</v>
      </c>
      <c r="B74" s="6" t="s">
        <v>365</v>
      </c>
      <c r="C74" s="1" t="s">
        <v>53</v>
      </c>
      <c r="D74" s="6">
        <v>8</v>
      </c>
      <c r="E74" s="1">
        <f>SUMIF(Vm!$C:$C,$A74,Vm!$F:$F)</f>
        <v>0</v>
      </c>
      <c r="F74" s="22">
        <f t="shared" si="2"/>
        <v>8</v>
      </c>
      <c r="G74" s="1" t="s">
        <v>584</v>
      </c>
      <c r="M74"/>
    </row>
    <row r="75" spans="1:13" x14ac:dyDescent="0.25">
      <c r="A75" s="59" t="s">
        <v>324</v>
      </c>
      <c r="B75" s="6" t="s">
        <v>361</v>
      </c>
      <c r="C75" s="1" t="s">
        <v>53</v>
      </c>
      <c r="D75" s="6">
        <v>11</v>
      </c>
      <c r="E75" s="1">
        <f>SUMIF(Vm!$C:$C,$A75,Vm!$F:$F)</f>
        <v>0</v>
      </c>
      <c r="F75" s="22">
        <f t="shared" si="2"/>
        <v>11</v>
      </c>
      <c r="G75" s="1" t="s">
        <v>584</v>
      </c>
      <c r="M75"/>
    </row>
    <row r="76" spans="1:13" x14ac:dyDescent="0.25">
      <c r="A76" s="59" t="s">
        <v>280</v>
      </c>
      <c r="B76" s="6" t="s">
        <v>281</v>
      </c>
      <c r="C76" s="1" t="s">
        <v>53</v>
      </c>
      <c r="D76" s="6">
        <v>6</v>
      </c>
      <c r="E76" s="1">
        <f>SUMIF(Vm!$C:$C,$A76,Vm!$F:$F)</f>
        <v>4</v>
      </c>
      <c r="F76" s="22">
        <f t="shared" si="2"/>
        <v>2</v>
      </c>
      <c r="G76" s="1" t="s">
        <v>584</v>
      </c>
      <c r="M76"/>
    </row>
    <row r="77" spans="1:13" x14ac:dyDescent="0.25">
      <c r="A77" s="59" t="s">
        <v>120</v>
      </c>
      <c r="B77" s="6" t="s">
        <v>366</v>
      </c>
      <c r="C77" s="1" t="s">
        <v>53</v>
      </c>
      <c r="D77" s="6">
        <v>16</v>
      </c>
      <c r="E77" s="1">
        <f>SUMIF(Vm!$C:$C,$A77,Vm!$F:$F)</f>
        <v>3</v>
      </c>
      <c r="F77" s="22">
        <f t="shared" si="2"/>
        <v>13</v>
      </c>
      <c r="G77" s="1" t="s">
        <v>584</v>
      </c>
      <c r="M77"/>
    </row>
    <row r="79" spans="1:13" ht="15.75" x14ac:dyDescent="0.25">
      <c r="A79" s="58" t="s">
        <v>260</v>
      </c>
      <c r="B79" s="15" t="s">
        <v>0</v>
      </c>
      <c r="C79" s="13" t="s">
        <v>1</v>
      </c>
      <c r="D79" s="15" t="s">
        <v>300</v>
      </c>
      <c r="E79" s="13" t="s">
        <v>332</v>
      </c>
      <c r="F79" s="26" t="s">
        <v>317</v>
      </c>
      <c r="G79" s="100" t="s">
        <v>585</v>
      </c>
      <c r="H79" s="100" t="s">
        <v>586</v>
      </c>
      <c r="M79"/>
    </row>
    <row r="80" spans="1:13" x14ac:dyDescent="0.25">
      <c r="A80" s="59" t="s">
        <v>123</v>
      </c>
      <c r="B80" s="6" t="s">
        <v>403</v>
      </c>
      <c r="C80" s="1" t="s">
        <v>52</v>
      </c>
      <c r="D80" s="6">
        <v>9</v>
      </c>
      <c r="E80" s="1">
        <f>SUMIF(Vm!$C:$C,$A80,Vm!$F:$F)</f>
        <v>0</v>
      </c>
      <c r="F80" s="22">
        <f t="shared" ref="F80:F111" si="3">SUM(D80-E80)</f>
        <v>9</v>
      </c>
      <c r="G80" s="1" t="s">
        <v>584</v>
      </c>
      <c r="H80" s="101">
        <v>46093</v>
      </c>
      <c r="M80"/>
    </row>
    <row r="81" spans="1:13" x14ac:dyDescent="0.25">
      <c r="A81" s="59" t="s">
        <v>269</v>
      </c>
      <c r="B81" s="6" t="s">
        <v>400</v>
      </c>
      <c r="C81" s="1" t="s">
        <v>52</v>
      </c>
      <c r="D81" s="6">
        <v>47</v>
      </c>
      <c r="E81" s="1">
        <f>SUMIF(Vm!$C:$C,$A81,Vm!$F:$F)</f>
        <v>4</v>
      </c>
      <c r="F81" s="22">
        <f t="shared" si="3"/>
        <v>43</v>
      </c>
      <c r="G81" s="1" t="s">
        <v>584</v>
      </c>
      <c r="J81" s="1">
        <v>9</v>
      </c>
      <c r="M81"/>
    </row>
    <row r="82" spans="1:13" x14ac:dyDescent="0.25">
      <c r="A82" s="59" t="s">
        <v>121</v>
      </c>
      <c r="B82" s="6" t="s">
        <v>401</v>
      </c>
      <c r="C82" s="1" t="s">
        <v>52</v>
      </c>
      <c r="D82" s="6">
        <v>9</v>
      </c>
      <c r="E82" s="1">
        <f>SUMIF(Vm!$C:$C,$A82,Vm!$F:$F)</f>
        <v>1</v>
      </c>
      <c r="F82" s="22">
        <f t="shared" si="3"/>
        <v>8</v>
      </c>
      <c r="G82" s="1" t="s">
        <v>584</v>
      </c>
      <c r="M82"/>
    </row>
    <row r="83" spans="1:13" x14ac:dyDescent="0.25">
      <c r="A83" s="59" t="s">
        <v>124</v>
      </c>
      <c r="B83" s="6" t="s">
        <v>404</v>
      </c>
      <c r="C83" s="1" t="s">
        <v>52</v>
      </c>
      <c r="D83" s="6">
        <v>5</v>
      </c>
      <c r="E83" s="1">
        <f>SUMIF(Vm!$C:$C,$A83,Vm!$F:$F)</f>
        <v>0</v>
      </c>
      <c r="F83" s="22">
        <f t="shared" si="3"/>
        <v>5</v>
      </c>
      <c r="G83" s="1" t="s">
        <v>584</v>
      </c>
      <c r="M83"/>
    </row>
    <row r="84" spans="1:13" x14ac:dyDescent="0.25">
      <c r="A84" s="59" t="s">
        <v>125</v>
      </c>
      <c r="B84" s="6" t="s">
        <v>405</v>
      </c>
      <c r="C84" s="1" t="s">
        <v>52</v>
      </c>
      <c r="D84" s="6">
        <v>59</v>
      </c>
      <c r="E84" s="1">
        <f>SUMIF(Vm!$C:$C,$A84,Vm!$F:$F)</f>
        <v>13</v>
      </c>
      <c r="F84" s="22">
        <f t="shared" si="3"/>
        <v>46</v>
      </c>
      <c r="G84" s="1" t="s">
        <v>584</v>
      </c>
      <c r="M84"/>
    </row>
    <row r="85" spans="1:13" x14ac:dyDescent="0.25">
      <c r="A85" s="59" t="s">
        <v>126</v>
      </c>
      <c r="B85" s="6" t="s">
        <v>406</v>
      </c>
      <c r="C85" s="1" t="s">
        <v>52</v>
      </c>
      <c r="D85" s="6">
        <v>11</v>
      </c>
      <c r="E85" s="1">
        <f>SUMIF(Vm!$C:$C,$A85,Vm!$F:$F)</f>
        <v>1</v>
      </c>
      <c r="F85" s="22">
        <f t="shared" si="3"/>
        <v>10</v>
      </c>
      <c r="G85" s="1" t="s">
        <v>584</v>
      </c>
      <c r="M85"/>
    </row>
    <row r="86" spans="1:13" x14ac:dyDescent="0.25">
      <c r="A86" s="59" t="s">
        <v>145</v>
      </c>
      <c r="B86" s="6" t="s">
        <v>421</v>
      </c>
      <c r="C86" s="1" t="s">
        <v>52</v>
      </c>
      <c r="D86" s="6">
        <v>15</v>
      </c>
      <c r="E86" s="1">
        <f>SUMIF(Vm!$C:$C,$A86,Vm!$F:$F)</f>
        <v>4</v>
      </c>
      <c r="F86" s="22">
        <f t="shared" si="3"/>
        <v>11</v>
      </c>
      <c r="G86" s="1" t="s">
        <v>584</v>
      </c>
      <c r="M86"/>
    </row>
    <row r="87" spans="1:13" x14ac:dyDescent="0.25">
      <c r="A87" s="59" t="s">
        <v>127</v>
      </c>
      <c r="B87" s="6" t="s">
        <v>407</v>
      </c>
      <c r="C87" s="1" t="s">
        <v>52</v>
      </c>
      <c r="D87" s="6">
        <v>7</v>
      </c>
      <c r="E87" s="1">
        <f>SUMIF(Vm!$C:$C,$A87,Vm!$F:$F)</f>
        <v>1</v>
      </c>
      <c r="F87" s="22">
        <f t="shared" si="3"/>
        <v>6</v>
      </c>
      <c r="G87" s="1" t="s">
        <v>584</v>
      </c>
      <c r="M87"/>
    </row>
    <row r="88" spans="1:13" x14ac:dyDescent="0.25">
      <c r="A88" s="59" t="s">
        <v>128</v>
      </c>
      <c r="B88" s="6" t="s">
        <v>408</v>
      </c>
      <c r="C88" s="1" t="s">
        <v>52</v>
      </c>
      <c r="D88" s="6">
        <v>29</v>
      </c>
      <c r="E88" s="1">
        <f>SUMIF(Vm!$C:$C,$A88,Vm!$F:$F)</f>
        <v>1</v>
      </c>
      <c r="F88" s="22">
        <f t="shared" si="3"/>
        <v>28</v>
      </c>
      <c r="G88" s="1" t="s">
        <v>584</v>
      </c>
      <c r="M88"/>
    </row>
    <row r="89" spans="1:13" x14ac:dyDescent="0.25">
      <c r="A89" s="59" t="s">
        <v>176</v>
      </c>
      <c r="B89" s="6" t="s">
        <v>452</v>
      </c>
      <c r="C89" s="1" t="s">
        <v>52</v>
      </c>
      <c r="D89" s="6">
        <v>7</v>
      </c>
      <c r="E89" s="1">
        <f>SUMIF(Vm!$C:$C,$A89,Vm!$F:$F)</f>
        <v>4</v>
      </c>
      <c r="F89" s="22">
        <f t="shared" si="3"/>
        <v>3</v>
      </c>
      <c r="G89" s="1" t="s">
        <v>584</v>
      </c>
      <c r="M89"/>
    </row>
    <row r="90" spans="1:13" x14ac:dyDescent="0.25">
      <c r="A90" s="59" t="s">
        <v>129</v>
      </c>
      <c r="B90" s="6" t="s">
        <v>409</v>
      </c>
      <c r="C90" s="1" t="s">
        <v>52</v>
      </c>
      <c r="D90" s="6">
        <v>10</v>
      </c>
      <c r="E90" s="1">
        <f>SUMIF(Vm!$C:$C,$A90,Vm!$F:$F)</f>
        <v>0</v>
      </c>
      <c r="F90" s="22">
        <f t="shared" si="3"/>
        <v>10</v>
      </c>
      <c r="G90" s="1" t="s">
        <v>584</v>
      </c>
      <c r="M90"/>
    </row>
    <row r="91" spans="1:13" x14ac:dyDescent="0.25">
      <c r="A91" s="59" t="s">
        <v>122</v>
      </c>
      <c r="B91" s="6" t="s">
        <v>402</v>
      </c>
      <c r="C91" s="1" t="s">
        <v>52</v>
      </c>
      <c r="D91" s="6">
        <v>34</v>
      </c>
      <c r="E91" s="1">
        <f>SUMIF(Vm!$C:$C,$A91,Vm!$F:$F)</f>
        <v>8</v>
      </c>
      <c r="F91" s="22">
        <f t="shared" si="3"/>
        <v>26</v>
      </c>
      <c r="G91" s="1" t="s">
        <v>584</v>
      </c>
      <c r="M91"/>
    </row>
    <row r="92" spans="1:13" x14ac:dyDescent="0.25">
      <c r="A92" s="59" t="s">
        <v>130</v>
      </c>
      <c r="B92" s="6" t="s">
        <v>410</v>
      </c>
      <c r="C92" s="1" t="s">
        <v>52</v>
      </c>
      <c r="D92" s="6">
        <v>11</v>
      </c>
      <c r="E92" s="1">
        <f>SUMIF(Vm!$C:$C,$A92,Vm!$F:$F)</f>
        <v>1</v>
      </c>
      <c r="F92" s="22">
        <f t="shared" si="3"/>
        <v>10</v>
      </c>
      <c r="G92" s="1" t="s">
        <v>584</v>
      </c>
      <c r="M92"/>
    </row>
    <row r="93" spans="1:13" x14ac:dyDescent="0.25">
      <c r="A93" s="59" t="s">
        <v>131</v>
      </c>
      <c r="B93" s="6" t="s">
        <v>411</v>
      </c>
      <c r="C93" s="1" t="s">
        <v>52</v>
      </c>
      <c r="D93" s="6">
        <v>7</v>
      </c>
      <c r="E93" s="1">
        <f>SUMIF(Vm!$C:$C,$A93,Vm!$F:$F)</f>
        <v>0</v>
      </c>
      <c r="F93" s="22">
        <f t="shared" si="3"/>
        <v>7</v>
      </c>
      <c r="G93" s="1" t="s">
        <v>584</v>
      </c>
      <c r="M93"/>
    </row>
    <row r="94" spans="1:13" x14ac:dyDescent="0.25">
      <c r="A94" s="59" t="s">
        <v>132</v>
      </c>
      <c r="B94" s="6" t="s">
        <v>412</v>
      </c>
      <c r="C94" s="1" t="s">
        <v>52</v>
      </c>
      <c r="D94" s="6">
        <v>5</v>
      </c>
      <c r="E94" s="1">
        <f>SUMIF(Vm!$C:$C,$A94,Vm!$F:$F)</f>
        <v>0</v>
      </c>
      <c r="F94" s="22">
        <f t="shared" si="3"/>
        <v>5</v>
      </c>
      <c r="G94" s="1" t="s">
        <v>584</v>
      </c>
      <c r="M94"/>
    </row>
    <row r="95" spans="1:13" x14ac:dyDescent="0.25">
      <c r="A95" s="59" t="s">
        <v>312</v>
      </c>
      <c r="B95" s="6" t="s">
        <v>459</v>
      </c>
      <c r="C95" s="1" t="s">
        <v>52</v>
      </c>
      <c r="D95" s="6">
        <v>18</v>
      </c>
      <c r="E95" s="1">
        <f>SUMIF(Vm!$C:$C,$A95,Vm!$F:$F)</f>
        <v>1</v>
      </c>
      <c r="F95" s="22">
        <f t="shared" si="3"/>
        <v>17</v>
      </c>
      <c r="G95" s="1" t="s">
        <v>584</v>
      </c>
      <c r="M95"/>
    </row>
    <row r="96" spans="1:13" x14ac:dyDescent="0.25">
      <c r="A96" s="59" t="s">
        <v>271</v>
      </c>
      <c r="B96" s="6" t="s">
        <v>457</v>
      </c>
      <c r="C96" s="1" t="s">
        <v>52</v>
      </c>
      <c r="D96" s="6">
        <v>29</v>
      </c>
      <c r="E96" s="1">
        <f>SUMIF(Vm!$C:$C,$A96,Vm!$F:$F)</f>
        <v>5</v>
      </c>
      <c r="F96" s="22">
        <f t="shared" si="3"/>
        <v>24</v>
      </c>
      <c r="G96" s="1" t="s">
        <v>584</v>
      </c>
      <c r="M96"/>
    </row>
    <row r="97" spans="1:13" x14ac:dyDescent="0.25">
      <c r="A97" s="59" t="s">
        <v>133</v>
      </c>
      <c r="B97" s="6" t="s">
        <v>413</v>
      </c>
      <c r="C97" s="1" t="s">
        <v>52</v>
      </c>
      <c r="D97" s="6">
        <v>28</v>
      </c>
      <c r="E97" s="1">
        <f>SUMIF(Vm!$C:$C,$A97,Vm!$F:$F)</f>
        <v>9</v>
      </c>
      <c r="F97" s="22">
        <f t="shared" si="3"/>
        <v>19</v>
      </c>
      <c r="G97" s="1" t="s">
        <v>584</v>
      </c>
      <c r="M97"/>
    </row>
    <row r="98" spans="1:13" x14ac:dyDescent="0.25">
      <c r="A98" s="59" t="s">
        <v>134</v>
      </c>
      <c r="B98" s="6" t="s">
        <v>414</v>
      </c>
      <c r="C98" s="1" t="s">
        <v>52</v>
      </c>
      <c r="D98" s="6">
        <v>28</v>
      </c>
      <c r="E98" s="1">
        <f>SUMIF(Vm!$C:$C,$A98,Vm!$F:$F)</f>
        <v>6</v>
      </c>
      <c r="F98" s="22">
        <f t="shared" si="3"/>
        <v>22</v>
      </c>
      <c r="G98" s="1" t="s">
        <v>584</v>
      </c>
      <c r="M98"/>
    </row>
    <row r="99" spans="1:13" x14ac:dyDescent="0.25">
      <c r="A99" s="59" t="s">
        <v>135</v>
      </c>
      <c r="B99" s="6" t="s">
        <v>415</v>
      </c>
      <c r="C99" s="1" t="s">
        <v>52</v>
      </c>
      <c r="D99" s="6">
        <v>34</v>
      </c>
      <c r="E99" s="1">
        <f>SUMIF(Vm!$C:$C,$A99,Vm!$F:$F)</f>
        <v>7</v>
      </c>
      <c r="F99" s="22">
        <f t="shared" si="3"/>
        <v>27</v>
      </c>
      <c r="G99" s="1" t="s">
        <v>584</v>
      </c>
      <c r="M99"/>
    </row>
    <row r="100" spans="1:13" x14ac:dyDescent="0.25">
      <c r="A100" s="59" t="s">
        <v>136</v>
      </c>
      <c r="B100" s="6" t="s">
        <v>416</v>
      </c>
      <c r="C100" s="1" t="s">
        <v>52</v>
      </c>
      <c r="D100" s="6">
        <v>47</v>
      </c>
      <c r="E100" s="1">
        <f>SUMIF(Vm!$C:$C,$A100,Vm!$F:$F)</f>
        <v>14</v>
      </c>
      <c r="F100" s="22">
        <f t="shared" si="3"/>
        <v>33</v>
      </c>
      <c r="G100" s="1" t="s">
        <v>584</v>
      </c>
      <c r="M100"/>
    </row>
    <row r="101" spans="1:13" x14ac:dyDescent="0.25">
      <c r="A101" s="59" t="s">
        <v>137</v>
      </c>
      <c r="B101" s="6" t="s">
        <v>417</v>
      </c>
      <c r="C101" s="1" t="s">
        <v>52</v>
      </c>
      <c r="D101" s="6">
        <v>16</v>
      </c>
      <c r="E101" s="1">
        <f>SUMIF(Vm!$C:$C,$A101,Vm!$F:$F)</f>
        <v>3</v>
      </c>
      <c r="F101" s="22">
        <f t="shared" si="3"/>
        <v>13</v>
      </c>
      <c r="G101" s="1" t="s">
        <v>584</v>
      </c>
      <c r="M101"/>
    </row>
    <row r="102" spans="1:13" x14ac:dyDescent="0.25">
      <c r="A102" s="59" t="s">
        <v>138</v>
      </c>
      <c r="B102" s="6" t="s">
        <v>418</v>
      </c>
      <c r="C102" s="1" t="s">
        <v>52</v>
      </c>
      <c r="D102" s="6">
        <v>7</v>
      </c>
      <c r="E102" s="1">
        <f>SUMIF(Vm!$C:$C,$A102,Vm!$F:$F)</f>
        <v>0</v>
      </c>
      <c r="F102" s="22">
        <f t="shared" si="3"/>
        <v>7</v>
      </c>
      <c r="G102" s="1" t="s">
        <v>584</v>
      </c>
      <c r="M102"/>
    </row>
    <row r="103" spans="1:13" x14ac:dyDescent="0.25">
      <c r="A103" s="59" t="s">
        <v>173</v>
      </c>
      <c r="B103" s="6" t="s">
        <v>449</v>
      </c>
      <c r="C103" s="1" t="s">
        <v>52</v>
      </c>
      <c r="D103" s="6">
        <v>48</v>
      </c>
      <c r="E103" s="1">
        <f>SUMIF(Vm!$C:$C,$A103,Vm!$F:$F)</f>
        <v>31</v>
      </c>
      <c r="F103" s="22">
        <f t="shared" si="3"/>
        <v>17</v>
      </c>
      <c r="G103" s="1" t="s">
        <v>584</v>
      </c>
      <c r="M103"/>
    </row>
    <row r="104" spans="1:13" x14ac:dyDescent="0.25">
      <c r="A104" s="59" t="s">
        <v>139</v>
      </c>
      <c r="B104" s="6" t="s">
        <v>420</v>
      </c>
      <c r="C104" s="1" t="s">
        <v>52</v>
      </c>
      <c r="D104" s="6">
        <v>25</v>
      </c>
      <c r="E104" s="1">
        <f>SUMIF(Vm!$C:$C,$A104,Vm!$F:$F)</f>
        <v>6</v>
      </c>
      <c r="F104" s="22">
        <f t="shared" si="3"/>
        <v>19</v>
      </c>
      <c r="G104" s="1" t="s">
        <v>584</v>
      </c>
      <c r="M104"/>
    </row>
    <row r="105" spans="1:13" x14ac:dyDescent="0.25">
      <c r="A105" s="59" t="s">
        <v>174</v>
      </c>
      <c r="B105" s="6" t="s">
        <v>450</v>
      </c>
      <c r="C105" s="1" t="s">
        <v>52</v>
      </c>
      <c r="D105" s="6">
        <v>28</v>
      </c>
      <c r="E105" s="1">
        <f>SUMIF(Vm!$C:$C,$A105,Vm!$F:$F)</f>
        <v>1</v>
      </c>
      <c r="F105" s="22">
        <f t="shared" si="3"/>
        <v>27</v>
      </c>
      <c r="G105" s="1" t="s">
        <v>584</v>
      </c>
      <c r="M105"/>
    </row>
    <row r="106" spans="1:13" x14ac:dyDescent="0.25">
      <c r="A106" s="59" t="s">
        <v>313</v>
      </c>
      <c r="B106" s="6" t="s">
        <v>460</v>
      </c>
      <c r="C106" s="1" t="s">
        <v>52</v>
      </c>
      <c r="D106" s="6">
        <v>32</v>
      </c>
      <c r="E106" s="1">
        <f>SUMIF(Vm!$C:$C,$A106,Vm!$F:$F)</f>
        <v>21</v>
      </c>
      <c r="F106" s="22">
        <f t="shared" si="3"/>
        <v>11</v>
      </c>
      <c r="G106" s="1" t="s">
        <v>584</v>
      </c>
      <c r="M106"/>
    </row>
    <row r="107" spans="1:13" x14ac:dyDescent="0.25">
      <c r="A107" s="59" t="s">
        <v>314</v>
      </c>
      <c r="B107" s="6" t="s">
        <v>461</v>
      </c>
      <c r="C107" s="1" t="s">
        <v>52</v>
      </c>
      <c r="D107" s="6">
        <v>17</v>
      </c>
      <c r="E107" s="1">
        <f>SUMIF(Vm!$C:$C,$A107,Vm!$F:$F)</f>
        <v>2</v>
      </c>
      <c r="F107" s="22">
        <f t="shared" si="3"/>
        <v>15</v>
      </c>
      <c r="G107" s="1" t="s">
        <v>584</v>
      </c>
      <c r="M107"/>
    </row>
    <row r="108" spans="1:13" x14ac:dyDescent="0.25">
      <c r="A108" s="59" t="s">
        <v>140</v>
      </c>
      <c r="B108" s="6" t="s">
        <v>419</v>
      </c>
      <c r="C108" s="1" t="s">
        <v>52</v>
      </c>
      <c r="D108" s="6">
        <v>32</v>
      </c>
      <c r="E108" s="1">
        <f>SUMIF(Vm!$C:$C,$A108,Vm!$F:$F)</f>
        <v>20</v>
      </c>
      <c r="F108" s="22">
        <f t="shared" si="3"/>
        <v>12</v>
      </c>
      <c r="G108" s="1" t="s">
        <v>584</v>
      </c>
      <c r="M108"/>
    </row>
    <row r="109" spans="1:13" x14ac:dyDescent="0.25">
      <c r="A109" s="59" t="s">
        <v>178</v>
      </c>
      <c r="B109" s="6" t="s">
        <v>454</v>
      </c>
      <c r="C109" s="1" t="s">
        <v>52</v>
      </c>
      <c r="D109" s="6">
        <v>43</v>
      </c>
      <c r="E109" s="1">
        <f>SUMIF(Vm!$C:$C,$A109,Vm!$F:$F)</f>
        <v>10</v>
      </c>
      <c r="F109" s="22">
        <f t="shared" si="3"/>
        <v>33</v>
      </c>
      <c r="G109" s="1" t="s">
        <v>584</v>
      </c>
      <c r="M109"/>
    </row>
    <row r="110" spans="1:13" x14ac:dyDescent="0.25">
      <c r="A110" s="59" t="s">
        <v>179</v>
      </c>
      <c r="B110" s="6" t="s">
        <v>455</v>
      </c>
      <c r="C110" s="1" t="s">
        <v>52</v>
      </c>
      <c r="D110" s="6">
        <v>31</v>
      </c>
      <c r="E110" s="1">
        <f>SUMIF(Vm!$C:$C,$A110,Vm!$F:$F)</f>
        <v>8</v>
      </c>
      <c r="F110" s="22">
        <f t="shared" si="3"/>
        <v>23</v>
      </c>
      <c r="G110" s="1" t="s">
        <v>584</v>
      </c>
      <c r="M110"/>
    </row>
    <row r="111" spans="1:13" x14ac:dyDescent="0.25">
      <c r="A111" s="59" t="s">
        <v>141</v>
      </c>
      <c r="B111" s="6" t="s">
        <v>25</v>
      </c>
      <c r="C111" s="1" t="s">
        <v>52</v>
      </c>
      <c r="D111" s="6">
        <v>10</v>
      </c>
      <c r="E111" s="1">
        <f>SUMIF(Vm!$C:$C,$A111,Vm!$F:$F)</f>
        <v>0</v>
      </c>
      <c r="F111" s="22">
        <f t="shared" si="3"/>
        <v>10</v>
      </c>
      <c r="G111" s="1" t="s">
        <v>584</v>
      </c>
      <c r="M111"/>
    </row>
    <row r="112" spans="1:13" x14ac:dyDescent="0.25">
      <c r="A112" s="59" t="s">
        <v>142</v>
      </c>
      <c r="B112" s="6" t="s">
        <v>337</v>
      </c>
      <c r="C112" s="1" t="s">
        <v>52</v>
      </c>
      <c r="D112" s="6">
        <v>22</v>
      </c>
      <c r="E112" s="1">
        <f>SUMIF(Vm!$C:$C,$A112,Vm!$F:$F)</f>
        <v>5</v>
      </c>
      <c r="F112" s="22">
        <f t="shared" ref="F112:F143" si="4">SUM(D112-E112)</f>
        <v>17</v>
      </c>
      <c r="G112" s="1" t="s">
        <v>584</v>
      </c>
      <c r="M112"/>
    </row>
    <row r="113" spans="1:13" x14ac:dyDescent="0.25">
      <c r="A113" s="59" t="s">
        <v>143</v>
      </c>
      <c r="B113" s="6" t="s">
        <v>336</v>
      </c>
      <c r="C113" s="1" t="s">
        <v>52</v>
      </c>
      <c r="D113" s="6">
        <v>13</v>
      </c>
      <c r="E113" s="1">
        <f>SUMIF(Vm!$C:$C,$A113,Vm!$F:$F)</f>
        <v>2</v>
      </c>
      <c r="F113" s="22">
        <f t="shared" si="4"/>
        <v>11</v>
      </c>
      <c r="G113" s="1" t="s">
        <v>584</v>
      </c>
      <c r="M113"/>
    </row>
    <row r="114" spans="1:13" x14ac:dyDescent="0.25">
      <c r="A114" s="59" t="s">
        <v>144</v>
      </c>
      <c r="B114" s="6" t="s">
        <v>335</v>
      </c>
      <c r="C114" s="1" t="s">
        <v>52</v>
      </c>
      <c r="D114" s="6">
        <v>21</v>
      </c>
      <c r="E114" s="1">
        <f>SUMIF(Vm!$C:$C,$A114,Vm!$F:$F)</f>
        <v>10</v>
      </c>
      <c r="F114" s="22">
        <f t="shared" si="4"/>
        <v>11</v>
      </c>
      <c r="G114" s="1" t="s">
        <v>584</v>
      </c>
      <c r="M114"/>
    </row>
    <row r="115" spans="1:13" x14ac:dyDescent="0.25">
      <c r="A115" s="59" t="s">
        <v>146</v>
      </c>
      <c r="B115" s="6" t="s">
        <v>422</v>
      </c>
      <c r="C115" s="1" t="s">
        <v>52</v>
      </c>
      <c r="D115" s="6">
        <v>6</v>
      </c>
      <c r="E115" s="1">
        <f>SUMIF(Vm!$C:$C,$A115,Vm!$F:$F)</f>
        <v>0</v>
      </c>
      <c r="F115" s="22">
        <f t="shared" si="4"/>
        <v>6</v>
      </c>
      <c r="G115" s="1" t="s">
        <v>584</v>
      </c>
      <c r="M115"/>
    </row>
    <row r="116" spans="1:13" x14ac:dyDescent="0.25">
      <c r="A116" s="59" t="s">
        <v>315</v>
      </c>
      <c r="B116" s="6" t="s">
        <v>462</v>
      </c>
      <c r="C116" s="1" t="s">
        <v>52</v>
      </c>
      <c r="D116" s="6">
        <v>16</v>
      </c>
      <c r="E116" s="1">
        <f>SUMIF(Vm!$C:$C,$A116,Vm!$F:$F)</f>
        <v>0</v>
      </c>
      <c r="F116" s="22">
        <f t="shared" si="4"/>
        <v>16</v>
      </c>
      <c r="G116" s="1" t="s">
        <v>584</v>
      </c>
      <c r="M116"/>
    </row>
    <row r="117" spans="1:13" x14ac:dyDescent="0.25">
      <c r="A117" s="59" t="s">
        <v>151</v>
      </c>
      <c r="B117" s="6" t="s">
        <v>427</v>
      </c>
      <c r="C117" s="1" t="s">
        <v>52</v>
      </c>
      <c r="D117" s="6">
        <v>15</v>
      </c>
      <c r="E117" s="1">
        <f>SUMIF(Vm!$C:$C,$A117,Vm!$F:$F)</f>
        <v>4</v>
      </c>
      <c r="F117" s="22">
        <f t="shared" si="4"/>
        <v>11</v>
      </c>
      <c r="G117" s="1" t="s">
        <v>584</v>
      </c>
      <c r="M117"/>
    </row>
    <row r="118" spans="1:13" x14ac:dyDescent="0.25">
      <c r="A118" s="59" t="s">
        <v>152</v>
      </c>
      <c r="B118" s="6" t="s">
        <v>428</v>
      </c>
      <c r="C118" s="1" t="s">
        <v>52</v>
      </c>
      <c r="D118" s="6">
        <v>22</v>
      </c>
      <c r="E118" s="1">
        <f>SUMIF(Vm!$C:$C,$A118,Vm!$F:$F)</f>
        <v>4</v>
      </c>
      <c r="F118" s="22">
        <f t="shared" si="4"/>
        <v>18</v>
      </c>
      <c r="G118" s="1" t="s">
        <v>584</v>
      </c>
      <c r="M118"/>
    </row>
    <row r="119" spans="1:13" x14ac:dyDescent="0.25">
      <c r="A119" s="59" t="s">
        <v>153</v>
      </c>
      <c r="B119" s="6" t="s">
        <v>429</v>
      </c>
      <c r="C119" s="1" t="s">
        <v>52</v>
      </c>
      <c r="D119" s="6">
        <v>9</v>
      </c>
      <c r="E119" s="1">
        <f>SUMIF(Vm!$C:$C,$A119,Vm!$F:$F)</f>
        <v>3</v>
      </c>
      <c r="F119" s="22">
        <f t="shared" si="4"/>
        <v>6</v>
      </c>
      <c r="G119" s="1" t="s">
        <v>584</v>
      </c>
      <c r="M119"/>
    </row>
    <row r="120" spans="1:13" x14ac:dyDescent="0.25">
      <c r="A120" s="59" t="s">
        <v>154</v>
      </c>
      <c r="B120" s="6" t="s">
        <v>430</v>
      </c>
      <c r="C120" s="1" t="s">
        <v>52</v>
      </c>
      <c r="D120" s="6">
        <v>23</v>
      </c>
      <c r="E120" s="1">
        <f>SUMIF(Vm!$C:$C,$A120,Vm!$F:$F)</f>
        <v>8</v>
      </c>
      <c r="F120" s="22">
        <f t="shared" si="4"/>
        <v>15</v>
      </c>
      <c r="G120" s="1" t="s">
        <v>584</v>
      </c>
      <c r="M120"/>
    </row>
    <row r="121" spans="1:13" x14ac:dyDescent="0.25">
      <c r="A121" s="59" t="s">
        <v>155</v>
      </c>
      <c r="B121" s="6" t="s">
        <v>431</v>
      </c>
      <c r="C121" s="1" t="s">
        <v>52</v>
      </c>
      <c r="D121" s="6">
        <v>24</v>
      </c>
      <c r="E121" s="1">
        <f>SUMIF(Vm!$C:$C,$A121,Vm!$F:$F)</f>
        <v>6</v>
      </c>
      <c r="F121" s="22">
        <f t="shared" si="4"/>
        <v>18</v>
      </c>
      <c r="G121" s="1" t="s">
        <v>584</v>
      </c>
      <c r="M121"/>
    </row>
    <row r="122" spans="1:13" x14ac:dyDescent="0.25">
      <c r="A122" s="59" t="s">
        <v>156</v>
      </c>
      <c r="B122" s="6" t="s">
        <v>432</v>
      </c>
      <c r="C122" s="1" t="s">
        <v>52</v>
      </c>
      <c r="D122" s="6">
        <v>18</v>
      </c>
      <c r="E122" s="1">
        <f>SUMIF(Vm!$C:$C,$A122,Vm!$F:$F)</f>
        <v>2</v>
      </c>
      <c r="F122" s="22">
        <f t="shared" si="4"/>
        <v>16</v>
      </c>
      <c r="G122" s="1" t="s">
        <v>584</v>
      </c>
      <c r="M122"/>
    </row>
    <row r="123" spans="1:13" x14ac:dyDescent="0.25">
      <c r="A123" s="59" t="s">
        <v>157</v>
      </c>
      <c r="B123" s="6" t="s">
        <v>433</v>
      </c>
      <c r="C123" s="1" t="s">
        <v>52</v>
      </c>
      <c r="D123" s="6">
        <v>50</v>
      </c>
      <c r="E123" s="1">
        <f>SUMIF(Vm!$C:$C,$A123,Vm!$F:$F)</f>
        <v>7</v>
      </c>
      <c r="F123" s="22">
        <f t="shared" si="4"/>
        <v>43</v>
      </c>
      <c r="G123" s="1" t="s">
        <v>584</v>
      </c>
      <c r="M123"/>
    </row>
    <row r="124" spans="1:13" x14ac:dyDescent="0.25">
      <c r="A124" s="59" t="s">
        <v>158</v>
      </c>
      <c r="B124" s="6" t="s">
        <v>434</v>
      </c>
      <c r="C124" s="1" t="s">
        <v>52</v>
      </c>
      <c r="D124" s="6">
        <v>9</v>
      </c>
      <c r="E124" s="1">
        <f>SUMIF(Vm!$C:$C,$A124,Vm!$F:$F)</f>
        <v>0</v>
      </c>
      <c r="F124" s="22">
        <f t="shared" si="4"/>
        <v>9</v>
      </c>
      <c r="G124" s="1" t="s">
        <v>584</v>
      </c>
      <c r="M124"/>
    </row>
    <row r="125" spans="1:13" x14ac:dyDescent="0.25">
      <c r="A125" s="59" t="s">
        <v>159</v>
      </c>
      <c r="B125" s="6" t="s">
        <v>435</v>
      </c>
      <c r="C125" s="1" t="s">
        <v>52</v>
      </c>
      <c r="D125" s="6">
        <v>29</v>
      </c>
      <c r="E125" s="1">
        <f>SUMIF(Vm!$C:$C,$A125,Vm!$F:$F)</f>
        <v>3</v>
      </c>
      <c r="F125" s="22">
        <f t="shared" si="4"/>
        <v>26</v>
      </c>
      <c r="G125" s="1">
        <v>-1</v>
      </c>
      <c r="M125"/>
    </row>
    <row r="126" spans="1:13" x14ac:dyDescent="0.25">
      <c r="A126" s="59" t="s">
        <v>160</v>
      </c>
      <c r="B126" s="6" t="s">
        <v>436</v>
      </c>
      <c r="C126" s="1" t="s">
        <v>52</v>
      </c>
      <c r="D126" s="6">
        <v>9</v>
      </c>
      <c r="E126" s="1">
        <f>SUMIF(Vm!$C:$C,$A126,Vm!$F:$F)</f>
        <v>2</v>
      </c>
      <c r="F126" s="22">
        <f t="shared" si="4"/>
        <v>7</v>
      </c>
      <c r="G126" s="1" t="s">
        <v>584</v>
      </c>
      <c r="M126"/>
    </row>
    <row r="127" spans="1:13" x14ac:dyDescent="0.25">
      <c r="A127" s="59" t="s">
        <v>161</v>
      </c>
      <c r="B127" s="6" t="s">
        <v>437</v>
      </c>
      <c r="C127" s="1" t="s">
        <v>52</v>
      </c>
      <c r="D127" s="6">
        <v>37</v>
      </c>
      <c r="E127" s="1">
        <f>SUMIF(Vm!$C:$C,$A127,Vm!$F:$F)</f>
        <v>2</v>
      </c>
      <c r="F127" s="22">
        <f t="shared" si="4"/>
        <v>35</v>
      </c>
      <c r="G127" s="1" t="s">
        <v>584</v>
      </c>
      <c r="M127"/>
    </row>
    <row r="128" spans="1:13" x14ac:dyDescent="0.25">
      <c r="A128" s="59" t="s">
        <v>162</v>
      </c>
      <c r="B128" s="6" t="s">
        <v>438</v>
      </c>
      <c r="C128" s="1" t="s">
        <v>52</v>
      </c>
      <c r="D128" s="6">
        <v>22</v>
      </c>
      <c r="E128" s="1">
        <f>SUMIF(Vm!$C:$C,$A128,Vm!$F:$F)</f>
        <v>1</v>
      </c>
      <c r="F128" s="22">
        <f t="shared" si="4"/>
        <v>21</v>
      </c>
      <c r="G128" s="1" t="s">
        <v>584</v>
      </c>
      <c r="M128"/>
    </row>
    <row r="129" spans="1:13" x14ac:dyDescent="0.25">
      <c r="A129" s="59" t="s">
        <v>163</v>
      </c>
      <c r="B129" s="6" t="s">
        <v>439</v>
      </c>
      <c r="C129" s="1" t="s">
        <v>52</v>
      </c>
      <c r="D129" s="6">
        <v>22</v>
      </c>
      <c r="E129" s="1">
        <f>SUMIF(Vm!$C:$C,$A129,Vm!$F:$F)</f>
        <v>0</v>
      </c>
      <c r="F129" s="22">
        <f t="shared" si="4"/>
        <v>22</v>
      </c>
      <c r="G129" s="1" t="s">
        <v>584</v>
      </c>
      <c r="M129"/>
    </row>
    <row r="130" spans="1:13" x14ac:dyDescent="0.25">
      <c r="A130" s="59" t="s">
        <v>147</v>
      </c>
      <c r="B130" s="6" t="s">
        <v>423</v>
      </c>
      <c r="C130" s="1" t="s">
        <v>52</v>
      </c>
      <c r="D130" s="6">
        <v>13</v>
      </c>
      <c r="E130" s="1">
        <f>SUMIF(Vm!$C:$C,$A130,Vm!$F:$F)</f>
        <v>4</v>
      </c>
      <c r="F130" s="22">
        <f t="shared" si="4"/>
        <v>9</v>
      </c>
      <c r="G130" s="1" t="s">
        <v>584</v>
      </c>
      <c r="M130"/>
    </row>
    <row r="131" spans="1:13" x14ac:dyDescent="0.25">
      <c r="A131" s="59" t="s">
        <v>164</v>
      </c>
      <c r="B131" s="6" t="s">
        <v>440</v>
      </c>
      <c r="C131" s="1" t="s">
        <v>52</v>
      </c>
      <c r="D131" s="6">
        <v>24</v>
      </c>
      <c r="E131" s="1">
        <f>SUMIF(Vm!$C:$C,$A131,Vm!$F:$F)</f>
        <v>3</v>
      </c>
      <c r="F131" s="22">
        <f t="shared" si="4"/>
        <v>21</v>
      </c>
      <c r="G131" s="1" t="s">
        <v>584</v>
      </c>
      <c r="M131"/>
    </row>
    <row r="132" spans="1:13" x14ac:dyDescent="0.25">
      <c r="A132" s="59" t="s">
        <v>165</v>
      </c>
      <c r="B132" s="6" t="s">
        <v>441</v>
      </c>
      <c r="C132" s="1" t="s">
        <v>52</v>
      </c>
      <c r="D132" s="6">
        <v>6</v>
      </c>
      <c r="E132" s="1">
        <f>SUMIF(Vm!$C:$C,$A132,Vm!$F:$F)</f>
        <v>1</v>
      </c>
      <c r="F132" s="22">
        <f t="shared" si="4"/>
        <v>5</v>
      </c>
      <c r="G132" s="1" t="s">
        <v>584</v>
      </c>
      <c r="M132"/>
    </row>
    <row r="133" spans="1:13" x14ac:dyDescent="0.25">
      <c r="A133" s="59" t="s">
        <v>166</v>
      </c>
      <c r="B133" s="6" t="s">
        <v>442</v>
      </c>
      <c r="C133" s="1" t="s">
        <v>52</v>
      </c>
      <c r="D133" s="6">
        <v>6</v>
      </c>
      <c r="E133" s="1">
        <f>SUMIF(Vm!$C:$C,$A133,Vm!$F:$F)</f>
        <v>2</v>
      </c>
      <c r="F133" s="22">
        <f t="shared" si="4"/>
        <v>4</v>
      </c>
      <c r="G133" s="1" t="s">
        <v>584</v>
      </c>
      <c r="M133"/>
    </row>
    <row r="134" spans="1:13" x14ac:dyDescent="0.25">
      <c r="A134" s="59" t="s">
        <v>167</v>
      </c>
      <c r="B134" s="6" t="s">
        <v>443</v>
      </c>
      <c r="C134" s="1" t="s">
        <v>52</v>
      </c>
      <c r="D134" s="6">
        <v>7</v>
      </c>
      <c r="E134" s="1">
        <f>SUMIF(Vm!$C:$C,$A134,Vm!$F:$F)</f>
        <v>0</v>
      </c>
      <c r="F134" s="22">
        <f t="shared" si="4"/>
        <v>7</v>
      </c>
      <c r="G134" s="1" t="s">
        <v>584</v>
      </c>
      <c r="M134"/>
    </row>
    <row r="135" spans="1:13" x14ac:dyDescent="0.25">
      <c r="A135" s="59" t="s">
        <v>168</v>
      </c>
      <c r="B135" s="6" t="s">
        <v>444</v>
      </c>
      <c r="C135" s="1" t="s">
        <v>52</v>
      </c>
      <c r="D135" s="6">
        <v>7</v>
      </c>
      <c r="E135" s="1">
        <f>SUMIF(Vm!$C:$C,$A135,Vm!$F:$F)</f>
        <v>0</v>
      </c>
      <c r="F135" s="22">
        <f t="shared" si="4"/>
        <v>7</v>
      </c>
      <c r="G135" s="1" t="s">
        <v>584</v>
      </c>
      <c r="M135"/>
    </row>
    <row r="136" spans="1:13" x14ac:dyDescent="0.25">
      <c r="A136" s="59" t="s">
        <v>148</v>
      </c>
      <c r="B136" s="6" t="s">
        <v>424</v>
      </c>
      <c r="C136" s="1" t="s">
        <v>52</v>
      </c>
      <c r="D136" s="6">
        <v>9</v>
      </c>
      <c r="E136" s="1">
        <f>SUMIF(Vm!$C:$C,$A136,Vm!$F:$F)</f>
        <v>0</v>
      </c>
      <c r="F136" s="22">
        <f t="shared" si="4"/>
        <v>9</v>
      </c>
      <c r="G136" s="1" t="s">
        <v>584</v>
      </c>
      <c r="M136"/>
    </row>
    <row r="137" spans="1:13" x14ac:dyDescent="0.25">
      <c r="A137" s="59" t="s">
        <v>149</v>
      </c>
      <c r="B137" s="6" t="s">
        <v>425</v>
      </c>
      <c r="C137" s="1" t="s">
        <v>52</v>
      </c>
      <c r="D137" s="6">
        <v>18</v>
      </c>
      <c r="E137" s="1">
        <f>SUMIF(Vm!$C:$C,$A137,Vm!$F:$F)</f>
        <v>4</v>
      </c>
      <c r="F137" s="22">
        <f t="shared" si="4"/>
        <v>14</v>
      </c>
      <c r="G137" s="1" t="s">
        <v>584</v>
      </c>
      <c r="M137"/>
    </row>
    <row r="138" spans="1:13" x14ac:dyDescent="0.25">
      <c r="A138" s="59" t="s">
        <v>169</v>
      </c>
      <c r="B138" s="6" t="s">
        <v>445</v>
      </c>
      <c r="C138" s="1" t="s">
        <v>52</v>
      </c>
      <c r="D138" s="6">
        <v>41</v>
      </c>
      <c r="E138" s="1">
        <f>SUMIF(Vm!$C:$C,$A138,Vm!$F:$F)</f>
        <v>20</v>
      </c>
      <c r="F138" s="22">
        <f t="shared" si="4"/>
        <v>21</v>
      </c>
      <c r="G138" s="1" t="s">
        <v>584</v>
      </c>
      <c r="M138"/>
    </row>
    <row r="139" spans="1:13" x14ac:dyDescent="0.25">
      <c r="A139" s="59" t="s">
        <v>175</v>
      </c>
      <c r="B139" s="6" t="s">
        <v>451</v>
      </c>
      <c r="C139" s="1" t="s">
        <v>52</v>
      </c>
      <c r="D139" s="6">
        <v>38</v>
      </c>
      <c r="E139" s="1">
        <f>SUMIF(Vm!$C:$C,$A139,Vm!$F:$F)</f>
        <v>3</v>
      </c>
      <c r="F139" s="22">
        <f t="shared" si="4"/>
        <v>35</v>
      </c>
      <c r="G139" s="1" t="s">
        <v>584</v>
      </c>
      <c r="M139"/>
    </row>
    <row r="140" spans="1:13" x14ac:dyDescent="0.25">
      <c r="A140" s="59" t="s">
        <v>170</v>
      </c>
      <c r="B140" s="6" t="s">
        <v>446</v>
      </c>
      <c r="C140" s="1" t="s">
        <v>52</v>
      </c>
      <c r="D140" s="6">
        <v>65</v>
      </c>
      <c r="E140" s="1">
        <f>SUMIF(Vm!$C:$C,$A140,Vm!$F:$F)</f>
        <v>17</v>
      </c>
      <c r="F140" s="22">
        <f t="shared" si="4"/>
        <v>48</v>
      </c>
      <c r="G140" s="1" t="s">
        <v>584</v>
      </c>
      <c r="M140"/>
    </row>
    <row r="141" spans="1:13" x14ac:dyDescent="0.25">
      <c r="A141" s="59" t="s">
        <v>171</v>
      </c>
      <c r="B141" s="6" t="s">
        <v>447</v>
      </c>
      <c r="C141" s="1" t="s">
        <v>52</v>
      </c>
      <c r="D141" s="6">
        <v>7</v>
      </c>
      <c r="E141" s="1">
        <f>SUMIF(Vm!$C:$C,$A141,Vm!$F:$F)</f>
        <v>1</v>
      </c>
      <c r="F141" s="22">
        <f t="shared" si="4"/>
        <v>6</v>
      </c>
      <c r="G141" s="1" t="s">
        <v>584</v>
      </c>
      <c r="M141"/>
    </row>
    <row r="142" spans="1:13" x14ac:dyDescent="0.25">
      <c r="A142" s="59" t="s">
        <v>172</v>
      </c>
      <c r="B142" s="6" t="s">
        <v>448</v>
      </c>
      <c r="C142" s="1" t="s">
        <v>52</v>
      </c>
      <c r="D142" s="6">
        <v>7</v>
      </c>
      <c r="E142" s="1">
        <f>SUMIF(Vm!$C:$C,$A142,Vm!$F:$F)</f>
        <v>0</v>
      </c>
      <c r="F142" s="22">
        <f t="shared" si="4"/>
        <v>7</v>
      </c>
      <c r="G142" s="1" t="s">
        <v>584</v>
      </c>
      <c r="M142"/>
    </row>
    <row r="143" spans="1:13" x14ac:dyDescent="0.25">
      <c r="A143" s="59" t="s">
        <v>150</v>
      </c>
      <c r="B143" s="6" t="s">
        <v>426</v>
      </c>
      <c r="C143" s="1" t="s">
        <v>52</v>
      </c>
      <c r="D143" s="6">
        <v>6</v>
      </c>
      <c r="E143" s="1">
        <f>SUMIF(Vm!$C:$C,$A143,Vm!$F:$F)</f>
        <v>0</v>
      </c>
      <c r="F143" s="22">
        <f t="shared" si="4"/>
        <v>6</v>
      </c>
      <c r="G143" s="1" t="s">
        <v>584</v>
      </c>
      <c r="M143"/>
    </row>
    <row r="144" spans="1:13" x14ac:dyDescent="0.25">
      <c r="A144" s="59" t="s">
        <v>272</v>
      </c>
      <c r="B144" s="6" t="s">
        <v>458</v>
      </c>
      <c r="C144" s="1" t="s">
        <v>52</v>
      </c>
      <c r="D144" s="6">
        <v>27</v>
      </c>
      <c r="E144" s="1">
        <f>SUMIF(Vm!$C:$C,$A144,Vm!$F:$F)</f>
        <v>1</v>
      </c>
      <c r="F144" s="22">
        <f t="shared" ref="F144:F146" si="5">SUM(D144-E144)</f>
        <v>26</v>
      </c>
      <c r="G144" s="1" t="s">
        <v>584</v>
      </c>
      <c r="M144"/>
    </row>
    <row r="145" spans="1:13" x14ac:dyDescent="0.25">
      <c r="A145" s="59" t="s">
        <v>180</v>
      </c>
      <c r="B145" s="6" t="s">
        <v>456</v>
      </c>
      <c r="C145" s="1" t="s">
        <v>52</v>
      </c>
      <c r="D145" s="6">
        <v>51</v>
      </c>
      <c r="E145" s="1">
        <f>SUMIF(Vm!$C:$C,$A145,Vm!$F:$F)</f>
        <v>28</v>
      </c>
      <c r="F145" s="22">
        <f t="shared" si="5"/>
        <v>23</v>
      </c>
      <c r="G145" s="1" t="s">
        <v>584</v>
      </c>
      <c r="M145"/>
    </row>
    <row r="146" spans="1:13" ht="14.25" customHeight="1" x14ac:dyDescent="0.25">
      <c r="A146" s="59" t="s">
        <v>177</v>
      </c>
      <c r="B146" s="6" t="s">
        <v>453</v>
      </c>
      <c r="C146" s="1" t="s">
        <v>52</v>
      </c>
      <c r="D146" s="6">
        <v>17</v>
      </c>
      <c r="E146" s="1">
        <f>SUMIF(Vm!$C:$C,$A146,Vm!$F:$F)</f>
        <v>1</v>
      </c>
      <c r="F146" s="22">
        <f t="shared" si="5"/>
        <v>16</v>
      </c>
      <c r="G146" s="1" t="s">
        <v>584</v>
      </c>
      <c r="M146"/>
    </row>
    <row r="148" spans="1:13" ht="15.75" x14ac:dyDescent="0.25">
      <c r="A148" s="58" t="s">
        <v>260</v>
      </c>
      <c r="B148" s="15" t="s">
        <v>0</v>
      </c>
      <c r="C148" s="13" t="s">
        <v>1</v>
      </c>
      <c r="D148" s="15" t="s">
        <v>300</v>
      </c>
      <c r="E148" s="13" t="s">
        <v>332</v>
      </c>
      <c r="F148" s="26" t="s">
        <v>317</v>
      </c>
      <c r="G148" s="100" t="s">
        <v>587</v>
      </c>
      <c r="H148" s="100" t="s">
        <v>585</v>
      </c>
      <c r="M148"/>
    </row>
    <row r="149" spans="1:13" x14ac:dyDescent="0.25">
      <c r="A149" s="59" t="s">
        <v>59</v>
      </c>
      <c r="B149" s="6" t="s">
        <v>14</v>
      </c>
      <c r="C149" s="1" t="s">
        <v>549</v>
      </c>
      <c r="D149" s="6">
        <v>22</v>
      </c>
      <c r="E149" s="1">
        <f>SUMIF(Vm!$C:$C,$A149,Vm!$F:$F)</f>
        <v>1</v>
      </c>
      <c r="F149" s="22">
        <f t="shared" ref="F149:F150" si="6">SUM(D149-E149)</f>
        <v>21</v>
      </c>
      <c r="G149" s="1">
        <v>1</v>
      </c>
      <c r="M149"/>
    </row>
    <row r="150" spans="1:13" x14ac:dyDescent="0.25">
      <c r="A150" s="59" t="s">
        <v>60</v>
      </c>
      <c r="B150" s="6" t="s">
        <v>15</v>
      </c>
      <c r="C150" s="1" t="s">
        <v>549</v>
      </c>
      <c r="D150" s="6">
        <v>15</v>
      </c>
      <c r="E150" s="1">
        <f>SUMIF(Vm!$C:$C,$A150,Vm!$F:$F)</f>
        <v>5</v>
      </c>
      <c r="F150" s="22">
        <f t="shared" si="6"/>
        <v>10</v>
      </c>
      <c r="G150" s="1" t="s">
        <v>584</v>
      </c>
      <c r="M150"/>
    </row>
    <row r="152" spans="1:13" ht="15.75" x14ac:dyDescent="0.25">
      <c r="A152" s="58" t="s">
        <v>260</v>
      </c>
      <c r="B152" s="15" t="s">
        <v>0</v>
      </c>
      <c r="C152" s="13" t="s">
        <v>1</v>
      </c>
      <c r="D152" s="15" t="s">
        <v>300</v>
      </c>
      <c r="E152" s="13" t="s">
        <v>332</v>
      </c>
      <c r="F152" s="26" t="s">
        <v>317</v>
      </c>
      <c r="G152" s="100" t="s">
        <v>587</v>
      </c>
      <c r="H152" s="100" t="s">
        <v>585</v>
      </c>
    </row>
    <row r="153" spans="1:13" x14ac:dyDescent="0.25">
      <c r="A153" s="4" t="s">
        <v>189</v>
      </c>
      <c r="B153" s="6" t="s">
        <v>471</v>
      </c>
      <c r="C153" s="1" t="s">
        <v>51</v>
      </c>
      <c r="D153" s="6">
        <v>3</v>
      </c>
      <c r="E153" s="1">
        <f>SUMIF(Vm!$C:$C,$A153,Vm!$F:$F)</f>
        <v>0</v>
      </c>
      <c r="F153" s="6">
        <f t="shared" ref="F153:F184" si="7">SUM(D153-E153)</f>
        <v>3</v>
      </c>
      <c r="G153" s="102" t="s">
        <v>584</v>
      </c>
      <c r="H153" s="102"/>
    </row>
    <row r="154" spans="1:13" x14ac:dyDescent="0.25">
      <c r="A154" s="4" t="s">
        <v>213</v>
      </c>
      <c r="B154" s="6" t="s">
        <v>495</v>
      </c>
      <c r="C154" s="1" t="s">
        <v>51</v>
      </c>
      <c r="D154" s="6">
        <v>3</v>
      </c>
      <c r="E154" s="1">
        <f>SUMIF(Vm!$C:$C,$A154,Vm!$F:$F)</f>
        <v>2</v>
      </c>
      <c r="F154" s="6">
        <f t="shared" si="7"/>
        <v>1</v>
      </c>
      <c r="G154" s="6" t="s">
        <v>584</v>
      </c>
      <c r="H154" s="6"/>
    </row>
    <row r="155" spans="1:13" x14ac:dyDescent="0.25">
      <c r="A155" s="4" t="s">
        <v>214</v>
      </c>
      <c r="B155" s="6" t="s">
        <v>496</v>
      </c>
      <c r="C155" s="1" t="s">
        <v>51</v>
      </c>
      <c r="D155" s="6">
        <v>4</v>
      </c>
      <c r="E155" s="1">
        <f>SUMIF(Vm!$C:$C,$A155,Vm!$F:$F)</f>
        <v>1</v>
      </c>
      <c r="F155" s="6">
        <f t="shared" si="7"/>
        <v>3</v>
      </c>
      <c r="G155" s="6" t="s">
        <v>584</v>
      </c>
      <c r="H155" s="6"/>
    </row>
    <row r="156" spans="1:13" x14ac:dyDescent="0.25">
      <c r="A156" s="4" t="s">
        <v>310</v>
      </c>
      <c r="B156" s="6" t="s">
        <v>523</v>
      </c>
      <c r="C156" s="1" t="s">
        <v>51</v>
      </c>
      <c r="D156" s="6">
        <v>1</v>
      </c>
      <c r="E156" s="1">
        <f>SUMIF(Vm!$C:$C,$A156,Vm!$F:$F)</f>
        <v>0</v>
      </c>
      <c r="F156" s="6">
        <f t="shared" si="7"/>
        <v>1</v>
      </c>
      <c r="G156" s="6" t="s">
        <v>584</v>
      </c>
      <c r="H156" s="6"/>
    </row>
    <row r="157" spans="1:13" x14ac:dyDescent="0.25">
      <c r="A157" s="4" t="s">
        <v>181</v>
      </c>
      <c r="B157" s="6" t="s">
        <v>463</v>
      </c>
      <c r="C157" s="1" t="s">
        <v>51</v>
      </c>
      <c r="D157" s="6">
        <v>4</v>
      </c>
      <c r="E157" s="1">
        <f>SUMIF(Vm!$C:$C,$A157,Vm!$F:$F)</f>
        <v>0</v>
      </c>
      <c r="F157" s="6">
        <f t="shared" si="7"/>
        <v>4</v>
      </c>
      <c r="G157" s="6" t="s">
        <v>584</v>
      </c>
      <c r="H157" s="6"/>
    </row>
    <row r="158" spans="1:13" x14ac:dyDescent="0.25">
      <c r="A158" s="4" t="s">
        <v>190</v>
      </c>
      <c r="B158" s="6" t="s">
        <v>472</v>
      </c>
      <c r="C158" s="1" t="s">
        <v>51</v>
      </c>
      <c r="D158" s="6">
        <v>0</v>
      </c>
      <c r="E158" s="1">
        <f>SUMIF(Vm!$C:$C,$A158,Vm!$F:$F)</f>
        <v>0</v>
      </c>
      <c r="F158" s="6">
        <f t="shared" si="7"/>
        <v>0</v>
      </c>
      <c r="G158" s="6" t="s">
        <v>584</v>
      </c>
      <c r="H158" s="6"/>
    </row>
    <row r="159" spans="1:13" x14ac:dyDescent="0.25">
      <c r="A159" s="4" t="s">
        <v>215</v>
      </c>
      <c r="B159" s="6" t="s">
        <v>497</v>
      </c>
      <c r="C159" s="1" t="s">
        <v>51</v>
      </c>
      <c r="D159" s="6">
        <v>3</v>
      </c>
      <c r="E159" s="1">
        <f>SUMIF(Vm!$C:$C,$A159,Vm!$F:$F)</f>
        <v>1</v>
      </c>
      <c r="F159" s="6">
        <f t="shared" si="7"/>
        <v>2</v>
      </c>
      <c r="G159" s="6" t="s">
        <v>584</v>
      </c>
      <c r="H159" s="6"/>
    </row>
    <row r="160" spans="1:13" x14ac:dyDescent="0.25">
      <c r="A160" s="4" t="s">
        <v>216</v>
      </c>
      <c r="B160" s="6" t="s">
        <v>498</v>
      </c>
      <c r="C160" s="1" t="s">
        <v>51</v>
      </c>
      <c r="D160" s="6">
        <v>8</v>
      </c>
      <c r="E160" s="1">
        <f>SUMIF(Vm!$C:$C,$A160,Vm!$F:$F)</f>
        <v>0</v>
      </c>
      <c r="F160" s="6">
        <f t="shared" si="7"/>
        <v>8</v>
      </c>
      <c r="G160" s="6" t="s">
        <v>584</v>
      </c>
      <c r="H160" s="6"/>
    </row>
    <row r="161" spans="1:8" x14ac:dyDescent="0.25">
      <c r="A161" s="4" t="s">
        <v>217</v>
      </c>
      <c r="B161" s="6" t="s">
        <v>499</v>
      </c>
      <c r="C161" s="1" t="s">
        <v>51</v>
      </c>
      <c r="D161" s="6">
        <v>9</v>
      </c>
      <c r="E161" s="1">
        <f>SUMIF(Vm!$C:$C,$A161,Vm!$F:$F)</f>
        <v>4</v>
      </c>
      <c r="F161" s="6">
        <f t="shared" si="7"/>
        <v>5</v>
      </c>
      <c r="G161" s="6" t="s">
        <v>584</v>
      </c>
      <c r="H161" s="6"/>
    </row>
    <row r="162" spans="1:8" x14ac:dyDescent="0.25">
      <c r="A162" s="4" t="s">
        <v>218</v>
      </c>
      <c r="B162" s="6" t="s">
        <v>500</v>
      </c>
      <c r="C162" s="1" t="s">
        <v>51</v>
      </c>
      <c r="D162" s="6">
        <v>6</v>
      </c>
      <c r="E162" s="1">
        <f>SUMIF(Vm!$C:$C,$A162,Vm!$F:$F)</f>
        <v>0</v>
      </c>
      <c r="F162" s="6">
        <f t="shared" si="7"/>
        <v>6</v>
      </c>
      <c r="G162" s="6" t="s">
        <v>584</v>
      </c>
      <c r="H162" s="6"/>
    </row>
    <row r="163" spans="1:8" x14ac:dyDescent="0.25">
      <c r="A163" s="4" t="s">
        <v>191</v>
      </c>
      <c r="B163" s="6" t="s">
        <v>473</v>
      </c>
      <c r="C163" s="1" t="s">
        <v>51</v>
      </c>
      <c r="D163" s="6">
        <v>19</v>
      </c>
      <c r="E163" s="1">
        <f>SUMIF(Vm!$C:$C,$A163,Vm!$F:$F)</f>
        <v>4</v>
      </c>
      <c r="F163" s="6">
        <f t="shared" si="7"/>
        <v>15</v>
      </c>
      <c r="G163" s="6" t="s">
        <v>584</v>
      </c>
      <c r="H163" s="6"/>
    </row>
    <row r="164" spans="1:8" x14ac:dyDescent="0.25">
      <c r="A164" s="4" t="s">
        <v>219</v>
      </c>
      <c r="B164" s="6" t="s">
        <v>501</v>
      </c>
      <c r="C164" s="1" t="s">
        <v>51</v>
      </c>
      <c r="D164" s="6">
        <v>15</v>
      </c>
      <c r="E164" s="1">
        <f>SUMIF(Vm!$C:$C,$A164,Vm!$F:$F)</f>
        <v>0</v>
      </c>
      <c r="F164" s="6">
        <v>16</v>
      </c>
      <c r="G164" s="6">
        <v>1</v>
      </c>
      <c r="H164" s="6"/>
    </row>
    <row r="165" spans="1:8" x14ac:dyDescent="0.25">
      <c r="A165" s="4" t="s">
        <v>220</v>
      </c>
      <c r="B165" s="6" t="s">
        <v>502</v>
      </c>
      <c r="C165" s="1" t="s">
        <v>51</v>
      </c>
      <c r="D165" s="6">
        <v>2</v>
      </c>
      <c r="E165" s="1">
        <f>SUMIF(Vm!$C:$C,$A165,Vm!$F:$F)</f>
        <v>1</v>
      </c>
      <c r="F165" s="6">
        <f t="shared" si="7"/>
        <v>1</v>
      </c>
      <c r="G165" s="6" t="s">
        <v>584</v>
      </c>
      <c r="H165" s="6"/>
    </row>
    <row r="166" spans="1:8" x14ac:dyDescent="0.25">
      <c r="A166" s="4" t="s">
        <v>182</v>
      </c>
      <c r="B166" s="6" t="s">
        <v>464</v>
      </c>
      <c r="C166" s="1" t="s">
        <v>51</v>
      </c>
      <c r="D166" s="6">
        <v>4</v>
      </c>
      <c r="E166" s="1">
        <f>SUMIF(Vm!$C:$C,$A166,Vm!$F:$F)</f>
        <v>0</v>
      </c>
      <c r="F166" s="6">
        <f t="shared" si="7"/>
        <v>4</v>
      </c>
      <c r="G166" s="6" t="s">
        <v>584</v>
      </c>
      <c r="H166" s="6"/>
    </row>
    <row r="167" spans="1:8" x14ac:dyDescent="0.25">
      <c r="A167" s="4" t="s">
        <v>221</v>
      </c>
      <c r="B167" s="6" t="s">
        <v>503</v>
      </c>
      <c r="C167" s="1" t="s">
        <v>51</v>
      </c>
      <c r="D167" s="6">
        <v>5</v>
      </c>
      <c r="E167" s="1">
        <f>SUMIF(Vm!$C:$C,$A167,Vm!$F:$F)</f>
        <v>2</v>
      </c>
      <c r="F167" s="6">
        <f t="shared" si="7"/>
        <v>3</v>
      </c>
      <c r="G167" s="6" t="s">
        <v>584</v>
      </c>
      <c r="H167" s="6"/>
    </row>
    <row r="168" spans="1:8" x14ac:dyDescent="0.25">
      <c r="A168" s="4" t="s">
        <v>222</v>
      </c>
      <c r="B168" s="6" t="s">
        <v>504</v>
      </c>
      <c r="C168" s="1" t="s">
        <v>51</v>
      </c>
      <c r="D168" s="6">
        <v>3</v>
      </c>
      <c r="E168" s="1">
        <f>SUMIF(Vm!$C:$C,$A168,Vm!$F:$F)</f>
        <v>0</v>
      </c>
      <c r="F168" s="6">
        <f t="shared" si="7"/>
        <v>3</v>
      </c>
      <c r="G168" s="6" t="s">
        <v>584</v>
      </c>
      <c r="H168" s="6"/>
    </row>
    <row r="169" spans="1:8" x14ac:dyDescent="0.25">
      <c r="A169" s="4" t="s">
        <v>192</v>
      </c>
      <c r="B169" s="6" t="s">
        <v>474</v>
      </c>
      <c r="C169" s="1" t="s">
        <v>51</v>
      </c>
      <c r="D169" s="6">
        <v>5</v>
      </c>
      <c r="E169" s="1">
        <f>SUMIF(Vm!$C:$C,$A169,Vm!$F:$F)</f>
        <v>1</v>
      </c>
      <c r="F169" s="6">
        <f t="shared" si="7"/>
        <v>4</v>
      </c>
      <c r="G169" s="6" t="s">
        <v>584</v>
      </c>
      <c r="H169" s="6"/>
    </row>
    <row r="170" spans="1:8" x14ac:dyDescent="0.25">
      <c r="A170" s="4" t="s">
        <v>223</v>
      </c>
      <c r="B170" s="6" t="s">
        <v>505</v>
      </c>
      <c r="C170" s="1" t="s">
        <v>51</v>
      </c>
      <c r="D170" s="6">
        <v>14</v>
      </c>
      <c r="E170" s="1">
        <f>SUMIF(Vm!$C:$C,$A170,Vm!$F:$F)</f>
        <v>2</v>
      </c>
      <c r="F170" s="6">
        <f t="shared" si="7"/>
        <v>12</v>
      </c>
      <c r="G170" s="6" t="s">
        <v>584</v>
      </c>
      <c r="H170" s="6"/>
    </row>
    <row r="171" spans="1:8" x14ac:dyDescent="0.25">
      <c r="A171" s="4" t="s">
        <v>224</v>
      </c>
      <c r="B171" s="6" t="s">
        <v>506</v>
      </c>
      <c r="C171" s="1" t="s">
        <v>51</v>
      </c>
      <c r="D171" s="6">
        <v>9</v>
      </c>
      <c r="E171" s="1">
        <f>SUMIF(Vm!$C:$C,$A171,Vm!$F:$F)</f>
        <v>0</v>
      </c>
      <c r="F171" s="6">
        <f t="shared" si="7"/>
        <v>9</v>
      </c>
      <c r="G171" s="6" t="s">
        <v>584</v>
      </c>
      <c r="H171" s="6"/>
    </row>
    <row r="172" spans="1:8" x14ac:dyDescent="0.25">
      <c r="A172" s="4" t="s">
        <v>193</v>
      </c>
      <c r="B172" s="6" t="s">
        <v>475</v>
      </c>
      <c r="C172" s="1" t="s">
        <v>51</v>
      </c>
      <c r="D172" s="6">
        <v>0</v>
      </c>
      <c r="E172" s="1">
        <f>SUMIF(Vm!$C:$C,$A172,Vm!$F:$F)</f>
        <v>0</v>
      </c>
      <c r="F172" s="6">
        <f t="shared" si="7"/>
        <v>0</v>
      </c>
      <c r="G172" s="6" t="s">
        <v>584</v>
      </c>
      <c r="H172" s="6"/>
    </row>
    <row r="173" spans="1:8" x14ac:dyDescent="0.25">
      <c r="A173" s="4" t="s">
        <v>225</v>
      </c>
      <c r="B173" s="6" t="s">
        <v>507</v>
      </c>
      <c r="C173" s="1" t="s">
        <v>51</v>
      </c>
      <c r="D173" s="6">
        <v>7</v>
      </c>
      <c r="E173" s="1">
        <f>SUMIF(Vm!$C:$C,$A173,Vm!$F:$F)</f>
        <v>1</v>
      </c>
      <c r="F173" s="6">
        <f t="shared" si="7"/>
        <v>6</v>
      </c>
      <c r="G173" s="6" t="s">
        <v>584</v>
      </c>
      <c r="H173" s="6"/>
    </row>
    <row r="174" spans="1:8" x14ac:dyDescent="0.25">
      <c r="A174" s="4" t="s">
        <v>205</v>
      </c>
      <c r="B174" s="6" t="s">
        <v>487</v>
      </c>
      <c r="C174" s="1" t="s">
        <v>51</v>
      </c>
      <c r="D174" s="6">
        <v>4</v>
      </c>
      <c r="E174" s="1">
        <f>SUMIF(Vm!$C:$C,$A174,Vm!$F:$F)</f>
        <v>1</v>
      </c>
      <c r="F174" s="6">
        <f t="shared" si="7"/>
        <v>3</v>
      </c>
      <c r="G174" s="6" t="s">
        <v>584</v>
      </c>
      <c r="H174" s="6"/>
    </row>
    <row r="175" spans="1:8" x14ac:dyDescent="0.25">
      <c r="A175" s="4" t="s">
        <v>194</v>
      </c>
      <c r="B175" s="6" t="s">
        <v>476</v>
      </c>
      <c r="C175" s="1" t="s">
        <v>51</v>
      </c>
      <c r="D175" s="6">
        <v>5</v>
      </c>
      <c r="E175" s="1">
        <f>SUMIF(Vm!$C:$C,$A175,Vm!$F:$F)</f>
        <v>2</v>
      </c>
      <c r="F175" s="6">
        <f t="shared" si="7"/>
        <v>3</v>
      </c>
      <c r="G175" s="6" t="s">
        <v>584</v>
      </c>
      <c r="H175" s="6"/>
    </row>
    <row r="176" spans="1:8" x14ac:dyDescent="0.25">
      <c r="A176" s="4" t="s">
        <v>234</v>
      </c>
      <c r="B176" s="6" t="s">
        <v>516</v>
      </c>
      <c r="C176" s="1" t="s">
        <v>51</v>
      </c>
      <c r="D176" s="6">
        <v>2</v>
      </c>
      <c r="E176" s="1">
        <f>SUMIF(Vm!$C:$C,$A176,Vm!$F:$F)</f>
        <v>0</v>
      </c>
      <c r="F176" s="6">
        <f t="shared" si="7"/>
        <v>2</v>
      </c>
      <c r="G176" s="6" t="s">
        <v>584</v>
      </c>
      <c r="H176" s="6"/>
    </row>
    <row r="177" spans="1:8" x14ac:dyDescent="0.25">
      <c r="A177" s="4" t="s">
        <v>206</v>
      </c>
      <c r="B177" s="6" t="s">
        <v>488</v>
      </c>
      <c r="C177" s="1" t="s">
        <v>51</v>
      </c>
      <c r="D177" s="6">
        <v>9</v>
      </c>
      <c r="E177" s="1">
        <f>SUMIF(Vm!$C:$C,$A177,Vm!$F:$F)</f>
        <v>1</v>
      </c>
      <c r="F177" s="6">
        <f t="shared" si="7"/>
        <v>8</v>
      </c>
      <c r="G177" s="6" t="s">
        <v>584</v>
      </c>
      <c r="H177" s="6"/>
    </row>
    <row r="178" spans="1:8" x14ac:dyDescent="0.25">
      <c r="A178" s="4" t="s">
        <v>195</v>
      </c>
      <c r="B178" s="6" t="s">
        <v>477</v>
      </c>
      <c r="C178" s="1" t="s">
        <v>51</v>
      </c>
      <c r="D178" s="6">
        <v>2</v>
      </c>
      <c r="E178" s="1">
        <f>SUMIF(Vm!$C:$C,$A178,Vm!$F:$F)</f>
        <v>0</v>
      </c>
      <c r="F178" s="6">
        <f t="shared" si="7"/>
        <v>2</v>
      </c>
      <c r="G178" s="6" t="s">
        <v>584</v>
      </c>
      <c r="H178" s="6"/>
    </row>
    <row r="179" spans="1:8" x14ac:dyDescent="0.25">
      <c r="A179" s="4" t="s">
        <v>183</v>
      </c>
      <c r="B179" s="6" t="s">
        <v>465</v>
      </c>
      <c r="C179" s="1" t="s">
        <v>51</v>
      </c>
      <c r="D179" s="6">
        <v>7</v>
      </c>
      <c r="E179" s="1">
        <f>SUMIF(Vm!$C:$C,$A179,Vm!$F:$F)</f>
        <v>1</v>
      </c>
      <c r="F179" s="6">
        <f t="shared" si="7"/>
        <v>6</v>
      </c>
      <c r="G179" s="6" t="s">
        <v>584</v>
      </c>
      <c r="H179" s="6"/>
    </row>
    <row r="180" spans="1:8" x14ac:dyDescent="0.25">
      <c r="A180" s="4" t="s">
        <v>270</v>
      </c>
      <c r="B180" s="6" t="s">
        <v>521</v>
      </c>
      <c r="C180" s="1" t="s">
        <v>51</v>
      </c>
      <c r="D180" s="6">
        <v>1</v>
      </c>
      <c r="E180" s="1">
        <f>SUMIF(Vm!$C:$C,$A180,Vm!$F:$F)</f>
        <v>0</v>
      </c>
      <c r="F180" s="6">
        <f t="shared" si="7"/>
        <v>1</v>
      </c>
      <c r="G180" s="6" t="s">
        <v>584</v>
      </c>
      <c r="H180" s="6"/>
    </row>
    <row r="181" spans="1:8" x14ac:dyDescent="0.25">
      <c r="A181" s="4" t="s">
        <v>235</v>
      </c>
      <c r="B181" s="6" t="s">
        <v>517</v>
      </c>
      <c r="C181" s="1" t="s">
        <v>51</v>
      </c>
      <c r="D181" s="6">
        <v>4</v>
      </c>
      <c r="E181" s="1">
        <f>SUMIF(Vm!$C:$C,$A181,Vm!$F:$F)</f>
        <v>0</v>
      </c>
      <c r="F181" s="6">
        <f t="shared" si="7"/>
        <v>4</v>
      </c>
      <c r="G181" s="6" t="s">
        <v>584</v>
      </c>
      <c r="H181" s="6"/>
    </row>
    <row r="182" spans="1:8" x14ac:dyDescent="0.25">
      <c r="A182" s="4" t="s">
        <v>196</v>
      </c>
      <c r="B182" s="6" t="s">
        <v>478</v>
      </c>
      <c r="C182" s="1" t="s">
        <v>51</v>
      </c>
      <c r="D182" s="6">
        <v>1</v>
      </c>
      <c r="E182" s="1">
        <f>SUMIF(Vm!$C:$C,$A182,Vm!$F:$F)</f>
        <v>0</v>
      </c>
      <c r="F182" s="6">
        <f t="shared" si="7"/>
        <v>1</v>
      </c>
      <c r="G182" s="6" t="s">
        <v>584</v>
      </c>
      <c r="H182" s="6"/>
    </row>
    <row r="183" spans="1:8" x14ac:dyDescent="0.25">
      <c r="A183" s="4" t="s">
        <v>184</v>
      </c>
      <c r="B183" s="6" t="s">
        <v>466</v>
      </c>
      <c r="C183" s="1" t="s">
        <v>51</v>
      </c>
      <c r="D183" s="6">
        <v>2</v>
      </c>
      <c r="E183" s="1">
        <f>SUMIF(Vm!$C:$C,$A183,Vm!$F:$F)</f>
        <v>0</v>
      </c>
      <c r="F183" s="6">
        <f t="shared" si="7"/>
        <v>2</v>
      </c>
      <c r="G183" s="6" t="s">
        <v>584</v>
      </c>
      <c r="H183" s="6"/>
    </row>
    <row r="184" spans="1:8" x14ac:dyDescent="0.25">
      <c r="A184" s="4" t="s">
        <v>309</v>
      </c>
      <c r="B184" s="6" t="s">
        <v>522</v>
      </c>
      <c r="C184" s="1" t="s">
        <v>51</v>
      </c>
      <c r="D184" s="6">
        <v>3</v>
      </c>
      <c r="E184" s="1">
        <f>SUMIF(Vm!$C:$C,$A184,Vm!$F:$F)</f>
        <v>0</v>
      </c>
      <c r="F184" s="6">
        <f t="shared" si="7"/>
        <v>3</v>
      </c>
      <c r="G184" s="6" t="s">
        <v>584</v>
      </c>
      <c r="H184" s="6"/>
    </row>
    <row r="185" spans="1:8" x14ac:dyDescent="0.25">
      <c r="A185" s="4" t="s">
        <v>207</v>
      </c>
      <c r="B185" s="6" t="s">
        <v>489</v>
      </c>
      <c r="C185" s="1" t="s">
        <v>51</v>
      </c>
      <c r="D185" s="6">
        <v>2</v>
      </c>
      <c r="E185" s="1">
        <f>SUMIF(Vm!$C:$C,$A185,Vm!$F:$F)</f>
        <v>0</v>
      </c>
      <c r="F185" s="6">
        <f t="shared" ref="F185:F214" si="8">SUM(D185-E185)</f>
        <v>2</v>
      </c>
      <c r="G185" s="6" t="s">
        <v>584</v>
      </c>
      <c r="H185" s="6"/>
    </row>
    <row r="186" spans="1:8" x14ac:dyDescent="0.25">
      <c r="A186" s="4" t="s">
        <v>197</v>
      </c>
      <c r="B186" s="6" t="s">
        <v>479</v>
      </c>
      <c r="C186" s="1" t="s">
        <v>51</v>
      </c>
      <c r="D186" s="6">
        <v>9</v>
      </c>
      <c r="E186" s="1">
        <f>SUMIF(Vm!$C:$C,$A186,Vm!$F:$F)</f>
        <v>2</v>
      </c>
      <c r="F186" s="6">
        <f t="shared" si="8"/>
        <v>7</v>
      </c>
      <c r="G186" s="6" t="s">
        <v>584</v>
      </c>
      <c r="H186" s="6"/>
    </row>
    <row r="187" spans="1:8" x14ac:dyDescent="0.25">
      <c r="A187" s="4" t="s">
        <v>208</v>
      </c>
      <c r="B187" s="6" t="s">
        <v>490</v>
      </c>
      <c r="C187" s="1" t="s">
        <v>51</v>
      </c>
      <c r="D187" s="6">
        <v>1</v>
      </c>
      <c r="E187" s="1">
        <f>SUMIF(Vm!$C:$C,$A187,Vm!$F:$F)</f>
        <v>1</v>
      </c>
      <c r="F187" s="6">
        <f t="shared" si="8"/>
        <v>0</v>
      </c>
      <c r="G187" s="6" t="s">
        <v>584</v>
      </c>
      <c r="H187" s="6"/>
    </row>
    <row r="188" spans="1:8" x14ac:dyDescent="0.25">
      <c r="A188" s="4" t="s">
        <v>226</v>
      </c>
      <c r="B188" s="6" t="s">
        <v>508</v>
      </c>
      <c r="C188" s="1" t="s">
        <v>51</v>
      </c>
      <c r="D188" s="6">
        <v>5</v>
      </c>
      <c r="E188" s="1">
        <f>SUMIF(Vm!$C:$C,$A188,Vm!$F:$F)</f>
        <v>1</v>
      </c>
      <c r="F188" s="6">
        <f t="shared" si="8"/>
        <v>4</v>
      </c>
      <c r="G188" s="6" t="s">
        <v>584</v>
      </c>
      <c r="H188" s="6"/>
    </row>
    <row r="189" spans="1:8" x14ac:dyDescent="0.25">
      <c r="A189" s="4" t="s">
        <v>198</v>
      </c>
      <c r="B189" s="6" t="s">
        <v>480</v>
      </c>
      <c r="C189" s="1" t="s">
        <v>51</v>
      </c>
      <c r="D189" s="6">
        <v>6</v>
      </c>
      <c r="E189" s="1">
        <f>SUMIF(Vm!$C:$C,$A189,Vm!$F:$F)</f>
        <v>2</v>
      </c>
      <c r="F189" s="6">
        <f t="shared" si="8"/>
        <v>4</v>
      </c>
      <c r="G189" s="6">
        <v>2</v>
      </c>
      <c r="H189" s="6"/>
    </row>
    <row r="190" spans="1:8" x14ac:dyDescent="0.25">
      <c r="A190" s="4" t="s">
        <v>227</v>
      </c>
      <c r="B190" s="6" t="s">
        <v>509</v>
      </c>
      <c r="C190" s="1" t="s">
        <v>51</v>
      </c>
      <c r="D190" s="6">
        <v>1</v>
      </c>
      <c r="E190" s="1">
        <f>SUMIF(Vm!$C:$C,$A190,Vm!$F:$F)</f>
        <v>1</v>
      </c>
      <c r="F190" s="6">
        <f t="shared" si="8"/>
        <v>0</v>
      </c>
      <c r="G190" s="6" t="s">
        <v>584</v>
      </c>
      <c r="H190" s="6"/>
    </row>
    <row r="191" spans="1:8" x14ac:dyDescent="0.25">
      <c r="A191" s="4" t="s">
        <v>185</v>
      </c>
      <c r="B191" s="6" t="s">
        <v>467</v>
      </c>
      <c r="C191" s="1" t="s">
        <v>51</v>
      </c>
      <c r="D191" s="6">
        <v>7</v>
      </c>
      <c r="E191" s="1">
        <f>SUMIF(Vm!$C:$C,$A191,Vm!$F:$F)</f>
        <v>1</v>
      </c>
      <c r="F191" s="6">
        <f t="shared" si="8"/>
        <v>6</v>
      </c>
      <c r="G191" s="6" t="s">
        <v>584</v>
      </c>
      <c r="H191" s="6"/>
    </row>
    <row r="192" spans="1:8" x14ac:dyDescent="0.25">
      <c r="A192" s="4" t="s">
        <v>199</v>
      </c>
      <c r="B192" s="6" t="s">
        <v>481</v>
      </c>
      <c r="C192" s="1" t="s">
        <v>51</v>
      </c>
      <c r="D192" s="6">
        <v>17</v>
      </c>
      <c r="E192" s="1">
        <f>SUMIF(Vm!$C:$C,$A192,Vm!$F:$F)</f>
        <v>3</v>
      </c>
      <c r="F192" s="6">
        <f t="shared" si="8"/>
        <v>14</v>
      </c>
      <c r="G192" s="6" t="s">
        <v>584</v>
      </c>
      <c r="H192" s="6"/>
    </row>
    <row r="193" spans="1:8" x14ac:dyDescent="0.25">
      <c r="A193" s="4" t="s">
        <v>200</v>
      </c>
      <c r="B193" s="6" t="s">
        <v>482</v>
      </c>
      <c r="C193" s="1" t="s">
        <v>51</v>
      </c>
      <c r="D193" s="6">
        <v>5</v>
      </c>
      <c r="E193" s="1">
        <f>SUMIF(Vm!$C:$C,$A193,Vm!$F:$F)</f>
        <v>0</v>
      </c>
      <c r="F193" s="6">
        <f t="shared" si="8"/>
        <v>5</v>
      </c>
      <c r="G193" s="6" t="s">
        <v>584</v>
      </c>
      <c r="H193" s="6"/>
    </row>
    <row r="194" spans="1:8" x14ac:dyDescent="0.25">
      <c r="A194" s="4" t="s">
        <v>201</v>
      </c>
      <c r="B194" s="6" t="s">
        <v>483</v>
      </c>
      <c r="C194" s="1" t="s">
        <v>51</v>
      </c>
      <c r="D194" s="6">
        <v>2</v>
      </c>
      <c r="E194" s="1">
        <f>SUMIF(Vm!$C:$C,$A194,Vm!$F:$F)</f>
        <v>0</v>
      </c>
      <c r="F194" s="6">
        <f t="shared" si="8"/>
        <v>2</v>
      </c>
      <c r="G194" s="6" t="s">
        <v>584</v>
      </c>
      <c r="H194" s="6"/>
    </row>
    <row r="195" spans="1:8" x14ac:dyDescent="0.25">
      <c r="A195" s="4" t="s">
        <v>231</v>
      </c>
      <c r="B195" s="6" t="s">
        <v>513</v>
      </c>
      <c r="C195" s="1" t="s">
        <v>51</v>
      </c>
      <c r="D195" s="6">
        <v>14</v>
      </c>
      <c r="E195" s="1">
        <f>SUMIF(Vm!$C:$C,$A195,Vm!$F:$F)</f>
        <v>0</v>
      </c>
      <c r="F195" s="6">
        <f t="shared" si="8"/>
        <v>14</v>
      </c>
      <c r="G195" s="6" t="s">
        <v>584</v>
      </c>
      <c r="H195" s="6"/>
    </row>
    <row r="196" spans="1:8" x14ac:dyDescent="0.25">
      <c r="A196" s="4" t="s">
        <v>202</v>
      </c>
      <c r="B196" s="6" t="s">
        <v>484</v>
      </c>
      <c r="C196" s="1" t="s">
        <v>51</v>
      </c>
      <c r="D196" s="6">
        <v>8</v>
      </c>
      <c r="E196" s="1">
        <f>SUMIF(Vm!$C:$C,$A196,Vm!$F:$F)</f>
        <v>1</v>
      </c>
      <c r="F196" s="6">
        <f t="shared" si="8"/>
        <v>7</v>
      </c>
      <c r="G196" s="6" t="s">
        <v>584</v>
      </c>
      <c r="H196" s="6"/>
    </row>
    <row r="197" spans="1:8" x14ac:dyDescent="0.25">
      <c r="A197" s="4" t="s">
        <v>232</v>
      </c>
      <c r="B197" s="6" t="s">
        <v>514</v>
      </c>
      <c r="C197" s="1" t="s">
        <v>51</v>
      </c>
      <c r="D197" s="6">
        <v>9</v>
      </c>
      <c r="E197" s="1">
        <f>SUMIF(Vm!$C:$C,$A197,Vm!$F:$F)</f>
        <v>0</v>
      </c>
      <c r="F197" s="6">
        <f t="shared" si="8"/>
        <v>9</v>
      </c>
      <c r="G197" s="6" t="s">
        <v>584</v>
      </c>
      <c r="H197" s="6"/>
    </row>
    <row r="198" spans="1:8" x14ac:dyDescent="0.25">
      <c r="A198" s="4" t="s">
        <v>209</v>
      </c>
      <c r="B198" s="6" t="s">
        <v>491</v>
      </c>
      <c r="C198" s="1" t="s">
        <v>51</v>
      </c>
      <c r="D198" s="6">
        <v>1</v>
      </c>
      <c r="E198" s="1">
        <f>SUMIF(Vm!$C:$C,$A198,Vm!$F:$F)</f>
        <v>0</v>
      </c>
      <c r="F198" s="6">
        <f t="shared" si="8"/>
        <v>1</v>
      </c>
      <c r="G198" s="6" t="s">
        <v>584</v>
      </c>
      <c r="H198" s="6"/>
    </row>
    <row r="199" spans="1:8" x14ac:dyDescent="0.25">
      <c r="A199" s="4" t="s">
        <v>210</v>
      </c>
      <c r="B199" s="6" t="s">
        <v>492</v>
      </c>
      <c r="C199" s="1" t="s">
        <v>51</v>
      </c>
      <c r="D199" s="6">
        <v>1</v>
      </c>
      <c r="E199" s="1">
        <f>SUMIF(Vm!$C:$C,$A199,Vm!$F:$F)</f>
        <v>0</v>
      </c>
      <c r="F199" s="6">
        <f t="shared" si="8"/>
        <v>1</v>
      </c>
      <c r="G199" s="6" t="s">
        <v>584</v>
      </c>
      <c r="H199" s="6"/>
    </row>
    <row r="200" spans="1:8" x14ac:dyDescent="0.25">
      <c r="A200" s="4" t="s">
        <v>203</v>
      </c>
      <c r="B200" s="6" t="s">
        <v>485</v>
      </c>
      <c r="C200" s="1" t="s">
        <v>51</v>
      </c>
      <c r="D200" s="6">
        <v>13</v>
      </c>
      <c r="E200" s="1">
        <f>SUMIF(Vm!$C:$C,$A200,Vm!$F:$F)</f>
        <v>3</v>
      </c>
      <c r="F200" s="6">
        <f t="shared" si="8"/>
        <v>10</v>
      </c>
      <c r="G200" s="6" t="s">
        <v>584</v>
      </c>
      <c r="H200" s="6"/>
    </row>
    <row r="201" spans="1:8" x14ac:dyDescent="0.25">
      <c r="A201" s="4" t="s">
        <v>236</v>
      </c>
      <c r="B201" s="6" t="s">
        <v>518</v>
      </c>
      <c r="C201" s="1" t="s">
        <v>51</v>
      </c>
      <c r="D201" s="6">
        <v>17</v>
      </c>
      <c r="E201" s="1">
        <f>SUMIF(Vm!$C:$C,$A201,Vm!$F:$F)</f>
        <v>2</v>
      </c>
      <c r="F201" s="6">
        <f t="shared" si="8"/>
        <v>15</v>
      </c>
      <c r="G201" s="6" t="s">
        <v>584</v>
      </c>
      <c r="H201" s="6"/>
    </row>
    <row r="202" spans="1:8" x14ac:dyDescent="0.25">
      <c r="A202" s="4" t="s">
        <v>228</v>
      </c>
      <c r="B202" s="6" t="s">
        <v>510</v>
      </c>
      <c r="C202" s="1" t="s">
        <v>51</v>
      </c>
      <c r="D202" s="6">
        <v>9</v>
      </c>
      <c r="E202" s="1">
        <f>SUMIF(Vm!$C:$C,$A202,Vm!$F:$F)</f>
        <v>7</v>
      </c>
      <c r="F202" s="6">
        <f t="shared" si="8"/>
        <v>2</v>
      </c>
      <c r="G202" s="6" t="s">
        <v>584</v>
      </c>
      <c r="H202" s="6"/>
    </row>
    <row r="203" spans="1:8" x14ac:dyDescent="0.25">
      <c r="A203" s="4" t="s">
        <v>233</v>
      </c>
      <c r="B203" s="6" t="s">
        <v>515</v>
      </c>
      <c r="C203" s="1" t="s">
        <v>51</v>
      </c>
      <c r="D203" s="6">
        <v>6</v>
      </c>
      <c r="E203" s="1">
        <f>SUMIF(Vm!$C:$C,$A203,Vm!$F:$F)</f>
        <v>1</v>
      </c>
      <c r="F203" s="6">
        <f t="shared" si="8"/>
        <v>5</v>
      </c>
      <c r="G203" s="6" t="s">
        <v>584</v>
      </c>
      <c r="H203" s="6"/>
    </row>
    <row r="204" spans="1:8" x14ac:dyDescent="0.25">
      <c r="A204" s="4" t="s">
        <v>229</v>
      </c>
      <c r="B204" s="6" t="s">
        <v>511</v>
      </c>
      <c r="C204" s="1" t="s">
        <v>51</v>
      </c>
      <c r="D204" s="6">
        <v>18</v>
      </c>
      <c r="E204" s="1">
        <f>SUMIF(Vm!$C:$C,$A204,Vm!$F:$F)</f>
        <v>6</v>
      </c>
      <c r="F204" s="6">
        <f t="shared" si="8"/>
        <v>12</v>
      </c>
      <c r="G204" s="6" t="s">
        <v>584</v>
      </c>
      <c r="H204" s="6"/>
    </row>
    <row r="205" spans="1:8" x14ac:dyDescent="0.25">
      <c r="A205" s="4" t="s">
        <v>211</v>
      </c>
      <c r="B205" s="6" t="s">
        <v>493</v>
      </c>
      <c r="C205" s="1" t="s">
        <v>51</v>
      </c>
      <c r="D205" s="6">
        <v>2</v>
      </c>
      <c r="E205" s="1">
        <f>SUMIF(Vm!$C:$C,$A205,Vm!$F:$F)</f>
        <v>0</v>
      </c>
      <c r="F205" s="6">
        <f t="shared" si="8"/>
        <v>2</v>
      </c>
      <c r="G205" s="6" t="s">
        <v>584</v>
      </c>
      <c r="H205" s="6"/>
    </row>
    <row r="206" spans="1:8" x14ac:dyDescent="0.25">
      <c r="A206" s="4" t="s">
        <v>237</v>
      </c>
      <c r="B206" s="6" t="s">
        <v>519</v>
      </c>
      <c r="C206" s="1" t="s">
        <v>51</v>
      </c>
      <c r="D206" s="6">
        <v>7</v>
      </c>
      <c r="E206" s="1">
        <f>SUMIF(Vm!$C:$C,$A206,Vm!$F:$F)</f>
        <v>1</v>
      </c>
      <c r="F206" s="6">
        <f t="shared" si="8"/>
        <v>6</v>
      </c>
      <c r="G206" s="6" t="s">
        <v>584</v>
      </c>
      <c r="H206" s="6"/>
    </row>
    <row r="207" spans="1:8" x14ac:dyDescent="0.25">
      <c r="A207" s="4" t="s">
        <v>186</v>
      </c>
      <c r="B207" s="6" t="s">
        <v>468</v>
      </c>
      <c r="C207" s="1" t="s">
        <v>51</v>
      </c>
      <c r="D207" s="6">
        <v>1</v>
      </c>
      <c r="E207" s="1">
        <f>SUMIF(Vm!$C:$C,$A207,Vm!$F:$F)</f>
        <v>0</v>
      </c>
      <c r="F207" s="6">
        <f t="shared" si="8"/>
        <v>1</v>
      </c>
      <c r="G207" s="6" t="s">
        <v>584</v>
      </c>
      <c r="H207" s="6"/>
    </row>
    <row r="208" spans="1:8" x14ac:dyDescent="0.25">
      <c r="A208" s="4" t="s">
        <v>187</v>
      </c>
      <c r="B208" s="6" t="s">
        <v>469</v>
      </c>
      <c r="C208" s="1" t="s">
        <v>51</v>
      </c>
      <c r="D208" s="6">
        <v>8</v>
      </c>
      <c r="E208" s="1">
        <f>SUMIF(Vm!$C:$C,$A208,Vm!$F:$F)</f>
        <v>0</v>
      </c>
      <c r="F208" s="6">
        <f t="shared" si="8"/>
        <v>8</v>
      </c>
      <c r="G208" s="6" t="s">
        <v>584</v>
      </c>
      <c r="H208" s="6"/>
    </row>
    <row r="209" spans="1:13" x14ac:dyDescent="0.25">
      <c r="A209" s="4" t="s">
        <v>230</v>
      </c>
      <c r="B209" s="6" t="s">
        <v>512</v>
      </c>
      <c r="C209" s="1" t="s">
        <v>51</v>
      </c>
      <c r="D209" s="6">
        <v>0</v>
      </c>
      <c r="E209" s="1">
        <f>SUMIF(Vm!$C:$C,$A209,Vm!$F:$F)</f>
        <v>0</v>
      </c>
      <c r="F209" s="6">
        <f t="shared" si="8"/>
        <v>0</v>
      </c>
      <c r="G209" s="6" t="s">
        <v>584</v>
      </c>
      <c r="H209" s="6"/>
    </row>
    <row r="210" spans="1:13" x14ac:dyDescent="0.25">
      <c r="A210" s="4" t="s">
        <v>212</v>
      </c>
      <c r="B210" s="6" t="s">
        <v>494</v>
      </c>
      <c r="C210" s="1" t="s">
        <v>51</v>
      </c>
      <c r="D210" s="6">
        <v>0</v>
      </c>
      <c r="E210" s="1">
        <f>SUMIF(Vm!$C:$C,$A210,Vm!$F:$F)</f>
        <v>0</v>
      </c>
      <c r="F210" s="6">
        <f t="shared" si="8"/>
        <v>0</v>
      </c>
      <c r="G210" s="6" t="s">
        <v>584</v>
      </c>
      <c r="H210" s="6"/>
    </row>
    <row r="211" spans="1:13" x14ac:dyDescent="0.25">
      <c r="A211" s="4" t="s">
        <v>204</v>
      </c>
      <c r="B211" s="6" t="s">
        <v>486</v>
      </c>
      <c r="C211" s="1" t="s">
        <v>51</v>
      </c>
      <c r="D211" s="6">
        <v>2</v>
      </c>
      <c r="E211" s="1">
        <f>SUMIF(Vm!$C:$C,$A211,Vm!$F:$F)</f>
        <v>0</v>
      </c>
      <c r="F211" s="6">
        <f t="shared" si="8"/>
        <v>2</v>
      </c>
      <c r="G211" s="6" t="s">
        <v>584</v>
      </c>
      <c r="H211" s="6"/>
    </row>
    <row r="212" spans="1:13" x14ac:dyDescent="0.25">
      <c r="A212" s="4" t="s">
        <v>188</v>
      </c>
      <c r="B212" s="6" t="s">
        <v>470</v>
      </c>
      <c r="C212" s="1" t="s">
        <v>51</v>
      </c>
      <c r="D212" s="6">
        <v>6</v>
      </c>
      <c r="E212" s="1">
        <f>SUMIF(Vm!$C:$C,$A212,Vm!$F:$F)</f>
        <v>0</v>
      </c>
      <c r="F212" s="6">
        <f t="shared" si="8"/>
        <v>6</v>
      </c>
      <c r="G212" s="6" t="s">
        <v>584</v>
      </c>
      <c r="H212" s="6"/>
    </row>
    <row r="213" spans="1:13" x14ac:dyDescent="0.25">
      <c r="A213" s="4" t="s">
        <v>311</v>
      </c>
      <c r="B213" s="6" t="s">
        <v>524</v>
      </c>
      <c r="C213" s="1" t="s">
        <v>51</v>
      </c>
      <c r="D213" s="6">
        <v>3</v>
      </c>
      <c r="E213" s="1">
        <f>SUMIF(Vm!$C:$C,$A213,Vm!$F:$F)</f>
        <v>0</v>
      </c>
      <c r="F213" s="6">
        <f t="shared" si="8"/>
        <v>3</v>
      </c>
      <c r="G213" s="6" t="s">
        <v>584</v>
      </c>
      <c r="H213" s="6"/>
    </row>
    <row r="214" spans="1:13" x14ac:dyDescent="0.25">
      <c r="A214" s="4" t="s">
        <v>238</v>
      </c>
      <c r="B214" s="6" t="s">
        <v>520</v>
      </c>
      <c r="C214" s="1" t="s">
        <v>51</v>
      </c>
      <c r="D214" s="6">
        <v>15</v>
      </c>
      <c r="E214" s="1">
        <f>SUMIF(Vm!$C:$C,$A214,Vm!$F:$F)</f>
        <v>0</v>
      </c>
      <c r="F214" s="6">
        <f t="shared" si="8"/>
        <v>15</v>
      </c>
      <c r="G214" s="66" t="s">
        <v>584</v>
      </c>
      <c r="H214" s="66"/>
    </row>
    <row r="215" spans="1:13" x14ac:dyDescent="0.25">
      <c r="F215" s="6">
        <f t="shared" ref="F215" si="9">SUM(D215-E215)</f>
        <v>0</v>
      </c>
    </row>
    <row r="216" spans="1:13" ht="15.75" x14ac:dyDescent="0.25">
      <c r="A216" s="58" t="s">
        <v>260</v>
      </c>
      <c r="B216" s="15" t="s">
        <v>0</v>
      </c>
      <c r="C216" s="13" t="s">
        <v>1</v>
      </c>
      <c r="D216" s="15" t="s">
        <v>300</v>
      </c>
      <c r="E216" s="13" t="s">
        <v>332</v>
      </c>
      <c r="F216" s="26" t="s">
        <v>317</v>
      </c>
      <c r="G216" s="1"/>
      <c r="M216"/>
    </row>
    <row r="217" spans="1:13" x14ac:dyDescent="0.25">
      <c r="A217" s="59" t="s">
        <v>252</v>
      </c>
      <c r="B217" s="6" t="s">
        <v>42</v>
      </c>
      <c r="C217" s="1" t="s">
        <v>50</v>
      </c>
      <c r="D217" s="6">
        <v>24</v>
      </c>
      <c r="E217" s="1">
        <f>SUMIF(Vm!$C:$C,$A217,Vm!$F:$F)</f>
        <v>0</v>
      </c>
      <c r="F217" s="22">
        <f t="shared" ref="F217:F241" si="10">SUM(D217-E217)</f>
        <v>24</v>
      </c>
      <c r="G217" s="1"/>
      <c r="M217"/>
    </row>
    <row r="218" spans="1:13" x14ac:dyDescent="0.25">
      <c r="A218" s="59" t="s">
        <v>239</v>
      </c>
      <c r="B218" s="6" t="s">
        <v>30</v>
      </c>
      <c r="C218" s="1" t="s">
        <v>50</v>
      </c>
      <c r="D218" s="6">
        <v>8</v>
      </c>
      <c r="E218" s="1">
        <f>SUMIF(Vm!$C:$C,$A218,Vm!$F:$F)</f>
        <v>0</v>
      </c>
      <c r="F218" s="22">
        <f t="shared" si="10"/>
        <v>8</v>
      </c>
      <c r="G218" s="1"/>
      <c r="M218"/>
    </row>
    <row r="219" spans="1:13" x14ac:dyDescent="0.25">
      <c r="A219" s="59" t="s">
        <v>253</v>
      </c>
      <c r="B219" s="6" t="s">
        <v>43</v>
      </c>
      <c r="C219" s="1" t="s">
        <v>50</v>
      </c>
      <c r="D219" s="6">
        <v>15</v>
      </c>
      <c r="E219" s="1">
        <f>SUMIF(Vm!$C:$C,$A219,Vm!$F:$F)</f>
        <v>3</v>
      </c>
      <c r="F219" s="22">
        <f t="shared" si="10"/>
        <v>12</v>
      </c>
      <c r="G219" s="1"/>
      <c r="M219"/>
    </row>
    <row r="220" spans="1:13" x14ac:dyDescent="0.25">
      <c r="A220" s="59" t="s">
        <v>240</v>
      </c>
      <c r="B220" s="6" t="s">
        <v>525</v>
      </c>
      <c r="C220" s="1" t="s">
        <v>50</v>
      </c>
      <c r="D220" s="6">
        <v>20</v>
      </c>
      <c r="E220" s="1">
        <f>SUMIF(Vm!$C:$C,$A220,Vm!$F:$F)</f>
        <v>1</v>
      </c>
      <c r="F220" s="22">
        <f t="shared" si="10"/>
        <v>19</v>
      </c>
      <c r="G220" s="1"/>
      <c r="M220"/>
    </row>
    <row r="221" spans="1:13" x14ac:dyDescent="0.25">
      <c r="A221" s="59" t="s">
        <v>254</v>
      </c>
      <c r="B221" s="6" t="s">
        <v>44</v>
      </c>
      <c r="C221" s="1" t="s">
        <v>50</v>
      </c>
      <c r="D221" s="6">
        <v>5</v>
      </c>
      <c r="E221" s="1">
        <f>SUMIF(Vm!$C:$C,$A221,Vm!$F:$F)</f>
        <v>0</v>
      </c>
      <c r="F221" s="22">
        <f t="shared" si="10"/>
        <v>5</v>
      </c>
      <c r="G221" s="1"/>
      <c r="M221"/>
    </row>
    <row r="222" spans="1:13" x14ac:dyDescent="0.25">
      <c r="A222" s="59" t="s">
        <v>255</v>
      </c>
      <c r="B222" s="6" t="s">
        <v>45</v>
      </c>
      <c r="C222" s="1" t="s">
        <v>50</v>
      </c>
      <c r="D222" s="6">
        <v>3</v>
      </c>
      <c r="E222" s="1">
        <f>SUMIF(Vm!$C:$C,$A222,Vm!$F:$F)</f>
        <v>0</v>
      </c>
      <c r="F222" s="22">
        <f t="shared" si="10"/>
        <v>3</v>
      </c>
      <c r="G222" s="1"/>
      <c r="M222"/>
    </row>
    <row r="223" spans="1:13" x14ac:dyDescent="0.25">
      <c r="A223" s="59" t="s">
        <v>256</v>
      </c>
      <c r="B223" s="6" t="s">
        <v>46</v>
      </c>
      <c r="C223" s="1" t="s">
        <v>50</v>
      </c>
      <c r="D223" s="6">
        <v>21</v>
      </c>
      <c r="E223" s="1">
        <f>SUMIF(Vm!$C:$C,$A223,Vm!$F:$F)</f>
        <v>0</v>
      </c>
      <c r="F223" s="22">
        <f t="shared" si="10"/>
        <v>21</v>
      </c>
      <c r="G223" s="1"/>
      <c r="M223"/>
    </row>
    <row r="224" spans="1:13" x14ac:dyDescent="0.25">
      <c r="A224" s="59" t="s">
        <v>257</v>
      </c>
      <c r="B224" s="6" t="s">
        <v>47</v>
      </c>
      <c r="C224" s="1" t="s">
        <v>50</v>
      </c>
      <c r="D224" s="6">
        <v>7</v>
      </c>
      <c r="E224" s="1">
        <f>SUMIF(Vm!$C:$C,$A224,Vm!$F:$F)</f>
        <v>0</v>
      </c>
      <c r="F224" s="22">
        <f t="shared" si="10"/>
        <v>7</v>
      </c>
      <c r="G224" s="1"/>
      <c r="M224"/>
    </row>
    <row r="225" spans="1:13" x14ac:dyDescent="0.25">
      <c r="A225" s="59" t="s">
        <v>241</v>
      </c>
      <c r="B225" s="6" t="s">
        <v>31</v>
      </c>
      <c r="C225" s="1" t="s">
        <v>50</v>
      </c>
      <c r="D225" s="6">
        <v>12</v>
      </c>
      <c r="E225" s="1">
        <f>SUMIF(Vm!$C:$C,$A225,Vm!$F:$F)</f>
        <v>0</v>
      </c>
      <c r="F225" s="22">
        <f t="shared" si="10"/>
        <v>12</v>
      </c>
      <c r="G225" s="1"/>
      <c r="M225"/>
    </row>
    <row r="226" spans="1:13" x14ac:dyDescent="0.25">
      <c r="A226" s="59" t="s">
        <v>242</v>
      </c>
      <c r="B226" s="6" t="s">
        <v>32</v>
      </c>
      <c r="C226" s="1" t="s">
        <v>50</v>
      </c>
      <c r="D226" s="6">
        <v>3</v>
      </c>
      <c r="E226" s="1">
        <f>SUMIF(Vm!$C:$C,$A226,Vm!$F:$F)</f>
        <v>0</v>
      </c>
      <c r="F226" s="22">
        <f t="shared" si="10"/>
        <v>3</v>
      </c>
      <c r="G226" s="1"/>
      <c r="M226"/>
    </row>
    <row r="227" spans="1:13" x14ac:dyDescent="0.25">
      <c r="A227" s="59" t="s">
        <v>243</v>
      </c>
      <c r="B227" s="6" t="s">
        <v>33</v>
      </c>
      <c r="C227" s="1" t="s">
        <v>50</v>
      </c>
      <c r="D227" s="6">
        <v>8</v>
      </c>
      <c r="E227" s="1">
        <f>SUMIF(Vm!$C:$C,$A227,Vm!$F:$F)</f>
        <v>0</v>
      </c>
      <c r="F227" s="22">
        <f t="shared" si="10"/>
        <v>8</v>
      </c>
      <c r="G227" s="1"/>
      <c r="M227"/>
    </row>
    <row r="228" spans="1:13" x14ac:dyDescent="0.25">
      <c r="A228" s="59" t="s">
        <v>244</v>
      </c>
      <c r="B228" s="6" t="s">
        <v>34</v>
      </c>
      <c r="C228" s="1" t="s">
        <v>50</v>
      </c>
      <c r="D228" s="6">
        <v>14</v>
      </c>
      <c r="E228" s="1">
        <f>SUMIF(Vm!$C:$C,$A228,Vm!$F:$F)</f>
        <v>1</v>
      </c>
      <c r="F228" s="22">
        <f t="shared" si="10"/>
        <v>13</v>
      </c>
      <c r="G228" s="1"/>
      <c r="M228"/>
    </row>
    <row r="229" spans="1:13" x14ac:dyDescent="0.25">
      <c r="A229" s="59" t="s">
        <v>245</v>
      </c>
      <c r="B229" s="6" t="s">
        <v>35</v>
      </c>
      <c r="C229" s="1" t="s">
        <v>50</v>
      </c>
      <c r="D229" s="6">
        <v>17</v>
      </c>
      <c r="E229" s="1">
        <f>SUMIF(Vm!$C:$C,$A229,Vm!$F:$F)</f>
        <v>0</v>
      </c>
      <c r="F229" s="22">
        <f t="shared" si="10"/>
        <v>17</v>
      </c>
      <c r="G229" s="1"/>
      <c r="M229"/>
    </row>
    <row r="230" spans="1:13" x14ac:dyDescent="0.25">
      <c r="A230" s="59" t="s">
        <v>246</v>
      </c>
      <c r="B230" s="6" t="s">
        <v>36</v>
      </c>
      <c r="C230" s="1" t="s">
        <v>50</v>
      </c>
      <c r="D230" s="6">
        <v>11</v>
      </c>
      <c r="E230" s="1">
        <f>SUMIF(Vm!$C:$C,$A230,Vm!$F:$F)</f>
        <v>0</v>
      </c>
      <c r="F230" s="22">
        <f t="shared" si="10"/>
        <v>11</v>
      </c>
      <c r="G230" s="1"/>
      <c r="M230"/>
    </row>
    <row r="231" spans="1:13" x14ac:dyDescent="0.25">
      <c r="A231" s="59" t="s">
        <v>247</v>
      </c>
      <c r="B231" s="6" t="s">
        <v>37</v>
      </c>
      <c r="C231" s="1" t="s">
        <v>50</v>
      </c>
      <c r="D231" s="6">
        <v>3</v>
      </c>
      <c r="E231" s="1">
        <f>SUMIF(Vm!$C:$C,$A231,Vm!$F:$F)</f>
        <v>0</v>
      </c>
      <c r="F231" s="22">
        <f t="shared" si="10"/>
        <v>3</v>
      </c>
      <c r="G231" s="1"/>
      <c r="M231"/>
    </row>
    <row r="232" spans="1:13" x14ac:dyDescent="0.25">
      <c r="A232" s="59" t="s">
        <v>258</v>
      </c>
      <c r="B232" s="6" t="s">
        <v>48</v>
      </c>
      <c r="C232" s="1" t="s">
        <v>50</v>
      </c>
      <c r="D232" s="6">
        <v>5</v>
      </c>
      <c r="E232" s="1">
        <f>SUMIF(Vm!$C:$C,$A232,Vm!$F:$F)</f>
        <v>0</v>
      </c>
      <c r="F232" s="22">
        <f t="shared" si="10"/>
        <v>5</v>
      </c>
      <c r="G232" s="1"/>
      <c r="M232"/>
    </row>
    <row r="233" spans="1:13" x14ac:dyDescent="0.25">
      <c r="A233" s="59" t="s">
        <v>248</v>
      </c>
      <c r="B233" s="6" t="s">
        <v>38</v>
      </c>
      <c r="C233" s="1" t="s">
        <v>50</v>
      </c>
      <c r="D233" s="6">
        <v>15</v>
      </c>
      <c r="E233" s="1">
        <f>SUMIF(Vm!$C:$C,$A233,Vm!$F:$F)</f>
        <v>3</v>
      </c>
      <c r="F233" s="22">
        <f t="shared" si="10"/>
        <v>12</v>
      </c>
      <c r="G233" s="1"/>
      <c r="M233"/>
    </row>
    <row r="234" spans="1:13" x14ac:dyDescent="0.25">
      <c r="A234" s="59" t="s">
        <v>249</v>
      </c>
      <c r="B234" s="6" t="s">
        <v>39</v>
      </c>
      <c r="C234" s="1" t="s">
        <v>50</v>
      </c>
      <c r="D234" s="6">
        <v>24</v>
      </c>
      <c r="E234" s="1">
        <f>SUMIF(Vm!$C:$C,$A234,Vm!$F:$F)</f>
        <v>5</v>
      </c>
      <c r="F234" s="22">
        <f t="shared" si="10"/>
        <v>19</v>
      </c>
      <c r="G234" s="1"/>
      <c r="M234"/>
    </row>
    <row r="235" spans="1:13" x14ac:dyDescent="0.25">
      <c r="A235" s="59" t="s">
        <v>266</v>
      </c>
      <c r="B235" s="6" t="s">
        <v>261</v>
      </c>
      <c r="C235" s="1" t="s">
        <v>50</v>
      </c>
      <c r="D235" s="6">
        <v>13</v>
      </c>
      <c r="E235" s="1">
        <f>SUMIF(Vm!$C:$C,$A235,Vm!$F:$F)</f>
        <v>1</v>
      </c>
      <c r="F235" s="22">
        <f t="shared" si="10"/>
        <v>12</v>
      </c>
      <c r="G235" s="1"/>
      <c r="M235"/>
    </row>
    <row r="236" spans="1:13" x14ac:dyDescent="0.25">
      <c r="A236" s="59" t="s">
        <v>259</v>
      </c>
      <c r="B236" s="6" t="s">
        <v>49</v>
      </c>
      <c r="C236" s="1" t="s">
        <v>50</v>
      </c>
      <c r="D236" s="6">
        <v>25</v>
      </c>
      <c r="E236" s="1">
        <f>SUMIF(Vm!$C:$C,$A236,Vm!$F:$F)</f>
        <v>9</v>
      </c>
      <c r="F236" s="22">
        <f t="shared" si="10"/>
        <v>16</v>
      </c>
      <c r="G236" s="1"/>
      <c r="M236"/>
    </row>
    <row r="237" spans="1:13" x14ac:dyDescent="0.25">
      <c r="A237" s="59" t="s">
        <v>268</v>
      </c>
      <c r="B237" s="6" t="s">
        <v>263</v>
      </c>
      <c r="C237" s="1" t="s">
        <v>50</v>
      </c>
      <c r="D237" s="6">
        <v>13</v>
      </c>
      <c r="E237" s="1">
        <f>SUMIF(Vm!$C:$C,$A237,Vm!$F:$F)</f>
        <v>0</v>
      </c>
      <c r="F237" s="22">
        <f t="shared" si="10"/>
        <v>13</v>
      </c>
      <c r="G237" s="1"/>
      <c r="M237"/>
    </row>
    <row r="238" spans="1:13" x14ac:dyDescent="0.25">
      <c r="A238" s="59" t="s">
        <v>265</v>
      </c>
      <c r="B238" s="6" t="s">
        <v>264</v>
      </c>
      <c r="C238" s="1" t="s">
        <v>50</v>
      </c>
      <c r="D238" s="6">
        <v>1</v>
      </c>
      <c r="E238" s="1">
        <f>SUMIF(Vm!$C:$C,$A238,Vm!$F:$F)</f>
        <v>0</v>
      </c>
      <c r="F238" s="22">
        <f t="shared" si="10"/>
        <v>1</v>
      </c>
      <c r="G238" s="1"/>
      <c r="M238"/>
    </row>
    <row r="239" spans="1:13" x14ac:dyDescent="0.25">
      <c r="A239" s="59" t="s">
        <v>250</v>
      </c>
      <c r="B239" s="6" t="s">
        <v>40</v>
      </c>
      <c r="C239" s="1" t="s">
        <v>50</v>
      </c>
      <c r="D239" s="6">
        <v>19</v>
      </c>
      <c r="E239" s="1">
        <f>SUMIF(Vm!$C:$C,$A239,Vm!$F:$F)</f>
        <v>0</v>
      </c>
      <c r="F239" s="22">
        <f t="shared" si="10"/>
        <v>19</v>
      </c>
      <c r="G239" s="1"/>
      <c r="M239"/>
    </row>
    <row r="240" spans="1:13" x14ac:dyDescent="0.25">
      <c r="A240" s="59" t="s">
        <v>251</v>
      </c>
      <c r="B240" s="6" t="s">
        <v>41</v>
      </c>
      <c r="C240" s="1" t="s">
        <v>50</v>
      </c>
      <c r="D240" s="6">
        <v>3</v>
      </c>
      <c r="E240" s="1">
        <f>SUMIF(Vm!$C:$C,$A240,Vm!$F:$F)</f>
        <v>0</v>
      </c>
      <c r="F240" s="22">
        <f t="shared" si="10"/>
        <v>3</v>
      </c>
      <c r="G240" s="1"/>
      <c r="M240"/>
    </row>
    <row r="241" spans="1:13" x14ac:dyDescent="0.25">
      <c r="A241" s="59" t="s">
        <v>267</v>
      </c>
      <c r="B241" s="6" t="s">
        <v>262</v>
      </c>
      <c r="C241" s="1" t="s">
        <v>50</v>
      </c>
      <c r="D241" s="6">
        <v>10</v>
      </c>
      <c r="E241" s="1">
        <f>SUMIF(Vm!$C:$C,$A241,Vm!$F:$F)</f>
        <v>1</v>
      </c>
      <c r="F241" s="22">
        <f t="shared" si="10"/>
        <v>9</v>
      </c>
      <c r="G241" s="1"/>
      <c r="M241"/>
    </row>
  </sheetData>
  <phoneticPr fontId="1" type="noConversion"/>
  <pageMargins left="0.75" right="0.75" top="1" bottom="1" header="0.5" footer="0.5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73"/>
  <sheetViews>
    <sheetView tabSelected="1" zoomScaleNormal="100" workbookViewId="0">
      <selection activeCell="O11" sqref="O11"/>
    </sheetView>
  </sheetViews>
  <sheetFormatPr defaultRowHeight="15" x14ac:dyDescent="0.25"/>
  <cols>
    <col min="1" max="1" width="11.7109375" style="6" customWidth="1"/>
    <col min="2" max="2" width="30.5703125" style="3" customWidth="1"/>
    <col min="3" max="3" width="9.42578125" style="4" customWidth="1"/>
    <col min="4" max="4" width="24.42578125" style="20" customWidth="1"/>
    <col min="5" max="5" width="13.42578125" style="3" customWidth="1"/>
    <col min="6" max="6" width="25.5703125" style="4" customWidth="1"/>
    <col min="7" max="7" width="19.28515625" style="4" customWidth="1"/>
    <col min="8" max="8" width="26" style="4" customWidth="1"/>
    <col min="9" max="9" width="18.5703125" style="12" customWidth="1"/>
    <col min="10" max="10" width="17.140625" style="10" customWidth="1"/>
    <col min="11" max="16384" width="9.140625" style="3"/>
  </cols>
  <sheetData>
    <row r="1" spans="1:10" s="25" customFormat="1" ht="15.75" x14ac:dyDescent="0.25">
      <c r="A1" s="15" t="s">
        <v>3</v>
      </c>
      <c r="B1" s="92" t="s">
        <v>329</v>
      </c>
      <c r="C1" s="15" t="s">
        <v>260</v>
      </c>
      <c r="D1" s="92" t="s">
        <v>0</v>
      </c>
      <c r="E1" s="92" t="s">
        <v>295</v>
      </c>
      <c r="F1" s="15" t="s">
        <v>2</v>
      </c>
      <c r="G1" s="15" t="s">
        <v>293</v>
      </c>
      <c r="H1" s="15" t="s">
        <v>5</v>
      </c>
      <c r="I1" s="26" t="s">
        <v>6</v>
      </c>
      <c r="J1" s="27" t="s">
        <v>289</v>
      </c>
    </row>
    <row r="2" spans="1:10" s="20" customFormat="1" ht="14.25" customHeight="1" x14ac:dyDescent="0.25">
      <c r="A2" s="14">
        <v>46082</v>
      </c>
      <c r="B2" s="93" t="s">
        <v>338</v>
      </c>
      <c r="C2" s="7" t="s">
        <v>139</v>
      </c>
      <c r="D2" s="93" t="s">
        <v>24</v>
      </c>
      <c r="E2" s="93" t="s">
        <v>52</v>
      </c>
      <c r="F2" s="24">
        <v>1</v>
      </c>
      <c r="G2" s="7"/>
      <c r="H2" s="7"/>
      <c r="I2" s="24"/>
      <c r="J2" s="29"/>
    </row>
    <row r="3" spans="1:10" s="20" customFormat="1" x14ac:dyDescent="0.25">
      <c r="A3" s="14">
        <v>46082</v>
      </c>
      <c r="B3" s="20" t="s">
        <v>546</v>
      </c>
      <c r="C3" s="6" t="s">
        <v>170</v>
      </c>
      <c r="D3" s="20" t="s">
        <v>446</v>
      </c>
      <c r="E3" s="37" t="s">
        <v>52</v>
      </c>
      <c r="F3" s="22">
        <v>1</v>
      </c>
      <c r="G3" s="22"/>
      <c r="H3" s="22"/>
      <c r="I3" s="22"/>
      <c r="J3" s="28" t="s">
        <v>325</v>
      </c>
    </row>
    <row r="4" spans="1:10" s="20" customFormat="1" x14ac:dyDescent="0.25">
      <c r="A4" s="14">
        <v>46082</v>
      </c>
      <c r="B4" s="20" t="s">
        <v>338</v>
      </c>
      <c r="C4" s="6" t="s">
        <v>58</v>
      </c>
      <c r="D4" s="20" t="s">
        <v>12</v>
      </c>
      <c r="E4" s="20" t="s">
        <v>13</v>
      </c>
      <c r="F4" s="22">
        <v>1</v>
      </c>
      <c r="G4" s="22"/>
      <c r="I4" s="22"/>
      <c r="J4" s="28" t="s">
        <v>325</v>
      </c>
    </row>
    <row r="5" spans="1:10" s="20" customFormat="1" x14ac:dyDescent="0.25">
      <c r="A5" s="14">
        <v>46083</v>
      </c>
      <c r="B5" s="20" t="s">
        <v>340</v>
      </c>
      <c r="C5" s="6" t="s">
        <v>185</v>
      </c>
      <c r="D5" s="20" t="s">
        <v>28</v>
      </c>
      <c r="E5" s="37" t="s">
        <v>51</v>
      </c>
      <c r="F5" s="22">
        <v>1</v>
      </c>
      <c r="G5" s="22"/>
      <c r="H5" s="22"/>
      <c r="I5" s="22"/>
      <c r="J5" s="28" t="s">
        <v>325</v>
      </c>
    </row>
    <row r="6" spans="1:10" s="20" customFormat="1" x14ac:dyDescent="0.25">
      <c r="A6" s="14">
        <v>46083</v>
      </c>
      <c r="B6" s="20" t="s">
        <v>340</v>
      </c>
      <c r="C6" s="6" t="s">
        <v>192</v>
      </c>
      <c r="D6" s="20" t="s">
        <v>29</v>
      </c>
      <c r="E6" s="20" t="s">
        <v>51</v>
      </c>
      <c r="F6" s="22">
        <v>1</v>
      </c>
      <c r="G6" s="22"/>
      <c r="H6" s="22"/>
      <c r="I6" s="22"/>
      <c r="J6" s="28" t="s">
        <v>325</v>
      </c>
    </row>
    <row r="7" spans="1:10" s="20" customFormat="1" x14ac:dyDescent="0.25">
      <c r="A7" s="14">
        <v>46083</v>
      </c>
      <c r="B7" s="20" t="s">
        <v>340</v>
      </c>
      <c r="C7" s="6" t="s">
        <v>217</v>
      </c>
      <c r="D7" s="20" t="s">
        <v>339</v>
      </c>
      <c r="E7" s="20" t="s">
        <v>51</v>
      </c>
      <c r="F7" s="22">
        <v>1</v>
      </c>
      <c r="G7" s="22"/>
      <c r="H7" s="22"/>
      <c r="I7" s="22"/>
      <c r="J7" s="28" t="s">
        <v>325</v>
      </c>
    </row>
    <row r="8" spans="1:10" s="20" customFormat="1" x14ac:dyDescent="0.25">
      <c r="A8" s="14">
        <v>46083</v>
      </c>
      <c r="B8" s="93" t="s">
        <v>526</v>
      </c>
      <c r="C8" s="7" t="s">
        <v>65</v>
      </c>
      <c r="D8" s="93" t="s">
        <v>20</v>
      </c>
      <c r="E8" s="93" t="s">
        <v>53</v>
      </c>
      <c r="F8" s="24">
        <v>1</v>
      </c>
      <c r="G8" s="24"/>
      <c r="H8" s="7"/>
      <c r="I8" s="24"/>
      <c r="J8" s="29"/>
    </row>
    <row r="9" spans="1:10" s="20" customFormat="1" x14ac:dyDescent="0.25">
      <c r="A9" s="14">
        <v>46083</v>
      </c>
      <c r="B9" s="93" t="s">
        <v>526</v>
      </c>
      <c r="C9" s="7" t="s">
        <v>113</v>
      </c>
      <c r="D9" s="93" t="s">
        <v>373</v>
      </c>
      <c r="E9" s="93" t="s">
        <v>53</v>
      </c>
      <c r="F9" s="24">
        <v>1</v>
      </c>
      <c r="G9" s="24"/>
      <c r="H9" s="24"/>
      <c r="I9" s="24"/>
      <c r="J9" s="29"/>
    </row>
    <row r="10" spans="1:10" s="20" customFormat="1" x14ac:dyDescent="0.25">
      <c r="A10" s="14">
        <v>46083</v>
      </c>
      <c r="B10" s="93" t="s">
        <v>526</v>
      </c>
      <c r="C10" s="7" t="s">
        <v>90</v>
      </c>
      <c r="D10" s="93" t="s">
        <v>395</v>
      </c>
      <c r="E10" s="93" t="s">
        <v>53</v>
      </c>
      <c r="F10" s="7">
        <v>1</v>
      </c>
      <c r="G10" s="24"/>
      <c r="H10" s="7"/>
      <c r="I10" s="24"/>
      <c r="J10" s="29"/>
    </row>
    <row r="11" spans="1:10" s="20" customFormat="1" x14ac:dyDescent="0.25">
      <c r="A11" s="14">
        <v>46083</v>
      </c>
      <c r="B11" s="93" t="s">
        <v>526</v>
      </c>
      <c r="C11" s="7" t="s">
        <v>94</v>
      </c>
      <c r="D11" s="93" t="s">
        <v>392</v>
      </c>
      <c r="E11" s="93" t="s">
        <v>53</v>
      </c>
      <c r="F11" s="7">
        <v>1</v>
      </c>
      <c r="G11" s="24"/>
      <c r="H11" s="7"/>
      <c r="I11" s="24"/>
      <c r="J11" s="29"/>
    </row>
    <row r="12" spans="1:10" s="20" customFormat="1" x14ac:dyDescent="0.25">
      <c r="A12" s="14">
        <v>46083</v>
      </c>
      <c r="B12" s="93" t="s">
        <v>526</v>
      </c>
      <c r="C12" s="7" t="s">
        <v>93</v>
      </c>
      <c r="D12" s="93" t="s">
        <v>398</v>
      </c>
      <c r="E12" s="93" t="s">
        <v>53</v>
      </c>
      <c r="F12" s="7">
        <v>1</v>
      </c>
      <c r="G12" s="7"/>
      <c r="H12" s="7"/>
      <c r="I12" s="24"/>
      <c r="J12" s="29"/>
    </row>
    <row r="13" spans="1:10" s="20" customFormat="1" x14ac:dyDescent="0.25">
      <c r="A13" s="14">
        <v>46083</v>
      </c>
      <c r="B13" s="93" t="s">
        <v>526</v>
      </c>
      <c r="C13" s="7" t="s">
        <v>96</v>
      </c>
      <c r="D13" s="93" t="s">
        <v>388</v>
      </c>
      <c r="E13" s="93" t="s">
        <v>53</v>
      </c>
      <c r="F13" s="7">
        <v>1</v>
      </c>
      <c r="G13" s="7"/>
      <c r="H13" s="7"/>
      <c r="I13" s="24"/>
      <c r="J13" s="29"/>
    </row>
    <row r="14" spans="1:10" s="20" customFormat="1" x14ac:dyDescent="0.25">
      <c r="A14" s="14">
        <v>46083</v>
      </c>
      <c r="B14" s="93" t="s">
        <v>526</v>
      </c>
      <c r="C14" s="7" t="s">
        <v>99</v>
      </c>
      <c r="D14" s="93" t="s">
        <v>387</v>
      </c>
      <c r="E14" s="93" t="s">
        <v>53</v>
      </c>
      <c r="F14" s="7">
        <v>1</v>
      </c>
      <c r="G14" s="7"/>
      <c r="H14" s="7"/>
      <c r="I14" s="24"/>
      <c r="J14" s="29"/>
    </row>
    <row r="15" spans="1:10" s="20" customFormat="1" x14ac:dyDescent="0.25">
      <c r="A15" s="14">
        <v>46083</v>
      </c>
      <c r="B15" s="93" t="s">
        <v>526</v>
      </c>
      <c r="C15" s="7" t="s">
        <v>100</v>
      </c>
      <c r="D15" s="93" t="s">
        <v>386</v>
      </c>
      <c r="E15" s="93" t="s">
        <v>53</v>
      </c>
      <c r="F15" s="7">
        <v>1</v>
      </c>
      <c r="G15" s="7"/>
      <c r="H15" s="7"/>
      <c r="I15" s="24"/>
      <c r="J15" s="29"/>
    </row>
    <row r="16" spans="1:10" s="20" customFormat="1" x14ac:dyDescent="0.25">
      <c r="A16" s="14">
        <v>46083</v>
      </c>
      <c r="B16" s="93" t="s">
        <v>526</v>
      </c>
      <c r="C16" s="7" t="s">
        <v>109</v>
      </c>
      <c r="D16" s="93" t="s">
        <v>377</v>
      </c>
      <c r="E16" s="93" t="s">
        <v>53</v>
      </c>
      <c r="F16" s="7">
        <v>1</v>
      </c>
      <c r="G16" s="7"/>
      <c r="H16" s="7"/>
      <c r="I16" s="24"/>
      <c r="J16" s="29"/>
    </row>
    <row r="17" spans="1:10" s="20" customFormat="1" x14ac:dyDescent="0.25">
      <c r="A17" s="14">
        <v>46083</v>
      </c>
      <c r="B17" s="93" t="s">
        <v>526</v>
      </c>
      <c r="C17" s="7" t="s">
        <v>110</v>
      </c>
      <c r="D17" s="93" t="s">
        <v>376</v>
      </c>
      <c r="E17" s="93" t="s">
        <v>53</v>
      </c>
      <c r="F17" s="7">
        <v>1</v>
      </c>
      <c r="G17" s="7"/>
      <c r="H17" s="7"/>
      <c r="I17" s="24"/>
      <c r="J17" s="29"/>
    </row>
    <row r="18" spans="1:10" s="20" customFormat="1" x14ac:dyDescent="0.25">
      <c r="A18" s="14">
        <v>46083</v>
      </c>
      <c r="B18" s="93" t="s">
        <v>526</v>
      </c>
      <c r="C18" s="7" t="s">
        <v>115</v>
      </c>
      <c r="D18" s="93" t="s">
        <v>371</v>
      </c>
      <c r="E18" s="93" t="s">
        <v>53</v>
      </c>
      <c r="F18" s="7">
        <v>1</v>
      </c>
      <c r="G18" s="7"/>
      <c r="H18" s="7"/>
      <c r="I18" s="24"/>
      <c r="J18" s="29"/>
    </row>
    <row r="19" spans="1:10" s="20" customFormat="1" x14ac:dyDescent="0.25">
      <c r="A19" s="14">
        <v>46083</v>
      </c>
      <c r="B19" s="93" t="s">
        <v>526</v>
      </c>
      <c r="C19" s="7" t="s">
        <v>120</v>
      </c>
      <c r="D19" s="93" t="s">
        <v>366</v>
      </c>
      <c r="E19" s="93" t="s">
        <v>53</v>
      </c>
      <c r="F19" s="7">
        <v>1</v>
      </c>
      <c r="G19" s="7"/>
      <c r="H19" s="7"/>
      <c r="I19" s="24"/>
      <c r="J19" s="29"/>
    </row>
    <row r="20" spans="1:10" s="20" customFormat="1" x14ac:dyDescent="0.25">
      <c r="A20" s="14">
        <v>46083</v>
      </c>
      <c r="B20" s="93" t="s">
        <v>526</v>
      </c>
      <c r="C20" s="7" t="s">
        <v>83</v>
      </c>
      <c r="D20" s="93" t="s">
        <v>355</v>
      </c>
      <c r="E20" s="93" t="s">
        <v>53</v>
      </c>
      <c r="F20" s="7">
        <v>1</v>
      </c>
      <c r="G20" s="7"/>
      <c r="H20" s="7"/>
      <c r="I20" s="24"/>
      <c r="J20" s="29"/>
    </row>
    <row r="21" spans="1:10" s="20" customFormat="1" x14ac:dyDescent="0.25">
      <c r="A21" s="14">
        <v>46083</v>
      </c>
      <c r="B21" s="93" t="s">
        <v>526</v>
      </c>
      <c r="C21" s="7" t="s">
        <v>81</v>
      </c>
      <c r="D21" s="93" t="s">
        <v>353</v>
      </c>
      <c r="E21" s="93" t="s">
        <v>53</v>
      </c>
      <c r="F21" s="7">
        <v>1</v>
      </c>
      <c r="G21" s="7"/>
      <c r="H21" s="7"/>
      <c r="I21" s="24"/>
      <c r="J21" s="29"/>
    </row>
    <row r="22" spans="1:10" s="20" customFormat="1" x14ac:dyDescent="0.25">
      <c r="A22" s="14">
        <v>46083</v>
      </c>
      <c r="B22" s="93" t="s">
        <v>526</v>
      </c>
      <c r="C22" s="7" t="s">
        <v>80</v>
      </c>
      <c r="D22" s="93" t="s">
        <v>352</v>
      </c>
      <c r="E22" s="93" t="s">
        <v>53</v>
      </c>
      <c r="F22" s="7">
        <v>1</v>
      </c>
      <c r="G22" s="7"/>
      <c r="H22" s="7"/>
      <c r="I22" s="24"/>
      <c r="J22" s="29"/>
    </row>
    <row r="23" spans="1:10" s="20" customFormat="1" x14ac:dyDescent="0.25">
      <c r="A23" s="14">
        <v>46083</v>
      </c>
      <c r="B23" s="93" t="s">
        <v>526</v>
      </c>
      <c r="C23" s="7" t="s">
        <v>67</v>
      </c>
      <c r="D23" s="93" t="s">
        <v>22</v>
      </c>
      <c r="E23" s="93" t="s">
        <v>53</v>
      </c>
      <c r="F23" s="7">
        <v>1</v>
      </c>
      <c r="G23" s="7"/>
      <c r="H23" s="7"/>
      <c r="I23" s="24"/>
      <c r="J23" s="29"/>
    </row>
    <row r="24" spans="1:10" s="20" customFormat="1" x14ac:dyDescent="0.25">
      <c r="A24" s="14">
        <v>46083</v>
      </c>
      <c r="B24" s="93" t="s">
        <v>526</v>
      </c>
      <c r="C24" s="7" t="s">
        <v>74</v>
      </c>
      <c r="D24" s="93" t="s">
        <v>347</v>
      </c>
      <c r="E24" s="93" t="s">
        <v>53</v>
      </c>
      <c r="F24" s="7">
        <v>1</v>
      </c>
      <c r="G24" s="7"/>
      <c r="H24" s="7"/>
      <c r="I24" s="24"/>
      <c r="J24" s="29"/>
    </row>
    <row r="25" spans="1:10" s="20" customFormat="1" x14ac:dyDescent="0.25">
      <c r="A25" s="14">
        <v>46083</v>
      </c>
      <c r="B25" s="93" t="s">
        <v>526</v>
      </c>
      <c r="C25" s="7" t="s">
        <v>75</v>
      </c>
      <c r="D25" s="93" t="s">
        <v>348</v>
      </c>
      <c r="E25" s="93" t="s">
        <v>53</v>
      </c>
      <c r="F25" s="7">
        <v>1</v>
      </c>
      <c r="G25" s="7"/>
      <c r="H25" s="7"/>
      <c r="I25" s="24"/>
      <c r="J25" s="29"/>
    </row>
    <row r="26" spans="1:10" s="20" customFormat="1" x14ac:dyDescent="0.25">
      <c r="A26" s="14">
        <v>46083</v>
      </c>
      <c r="B26" s="93" t="s">
        <v>526</v>
      </c>
      <c r="C26" s="7" t="s">
        <v>76</v>
      </c>
      <c r="D26" s="93" t="s">
        <v>399</v>
      </c>
      <c r="E26" s="93" t="s">
        <v>53</v>
      </c>
      <c r="F26" s="7">
        <v>1</v>
      </c>
      <c r="G26" s="7"/>
      <c r="H26" s="7"/>
      <c r="I26" s="24"/>
      <c r="J26" s="29"/>
    </row>
    <row r="27" spans="1:10" s="20" customFormat="1" x14ac:dyDescent="0.25">
      <c r="A27" s="14">
        <v>46083</v>
      </c>
      <c r="B27" s="93" t="s">
        <v>526</v>
      </c>
      <c r="C27" s="7" t="s">
        <v>118</v>
      </c>
      <c r="D27" s="93" t="s">
        <v>368</v>
      </c>
      <c r="E27" s="93" t="s">
        <v>53</v>
      </c>
      <c r="F27" s="7">
        <v>1</v>
      </c>
      <c r="G27" s="7"/>
      <c r="H27" s="7"/>
      <c r="I27" s="24"/>
      <c r="J27" s="29"/>
    </row>
    <row r="28" spans="1:10" s="20" customFormat="1" x14ac:dyDescent="0.25">
      <c r="A28" s="14">
        <v>46083</v>
      </c>
      <c r="B28" s="20" t="s">
        <v>340</v>
      </c>
      <c r="C28" s="6" t="s">
        <v>170</v>
      </c>
      <c r="D28" s="20" t="s">
        <v>27</v>
      </c>
      <c r="E28" s="20" t="s">
        <v>52</v>
      </c>
      <c r="F28" s="6">
        <v>1</v>
      </c>
      <c r="G28" s="6"/>
      <c r="H28" s="6"/>
      <c r="I28" s="22"/>
      <c r="J28" s="28" t="s">
        <v>325</v>
      </c>
    </row>
    <row r="29" spans="1:10" s="20" customFormat="1" x14ac:dyDescent="0.25">
      <c r="A29" s="14">
        <v>46083</v>
      </c>
      <c r="B29" s="93" t="s">
        <v>338</v>
      </c>
      <c r="C29" s="7" t="s">
        <v>135</v>
      </c>
      <c r="D29" s="93" t="s">
        <v>415</v>
      </c>
      <c r="E29" s="93" t="s">
        <v>52</v>
      </c>
      <c r="F29" s="7">
        <v>1</v>
      </c>
      <c r="G29" s="7"/>
      <c r="H29" s="7"/>
      <c r="I29" s="24"/>
      <c r="J29" s="29"/>
    </row>
    <row r="30" spans="1:10" s="20" customFormat="1" x14ac:dyDescent="0.25">
      <c r="A30" s="14">
        <v>46083</v>
      </c>
      <c r="B30" s="20" t="s">
        <v>333</v>
      </c>
      <c r="C30" s="4" t="s">
        <v>142</v>
      </c>
      <c r="D30" s="20" t="s">
        <v>337</v>
      </c>
      <c r="E30" s="3" t="s">
        <v>52</v>
      </c>
      <c r="F30" s="6">
        <v>1</v>
      </c>
      <c r="G30" s="6"/>
      <c r="H30" s="6"/>
      <c r="I30" s="22"/>
      <c r="J30" s="28" t="s">
        <v>325</v>
      </c>
    </row>
    <row r="31" spans="1:10" s="20" customFormat="1" x14ac:dyDescent="0.25">
      <c r="A31" s="14">
        <v>46083</v>
      </c>
      <c r="B31" s="20" t="s">
        <v>333</v>
      </c>
      <c r="C31" s="6" t="s">
        <v>144</v>
      </c>
      <c r="D31" s="20" t="s">
        <v>334</v>
      </c>
      <c r="E31" s="20" t="s">
        <v>52</v>
      </c>
      <c r="F31" s="6">
        <v>1</v>
      </c>
      <c r="G31" s="6"/>
      <c r="H31" s="6"/>
      <c r="I31" s="22"/>
      <c r="J31" s="28" t="s">
        <v>325</v>
      </c>
    </row>
    <row r="32" spans="1:10" s="20" customFormat="1" x14ac:dyDescent="0.25">
      <c r="A32" s="14">
        <v>46083</v>
      </c>
      <c r="B32" s="20" t="s">
        <v>360</v>
      </c>
      <c r="C32" s="6" t="s">
        <v>136</v>
      </c>
      <c r="D32" s="20" t="s">
        <v>23</v>
      </c>
      <c r="E32" s="20" t="s">
        <v>52</v>
      </c>
      <c r="F32" s="6">
        <v>1</v>
      </c>
      <c r="G32" s="6"/>
      <c r="H32" s="6"/>
      <c r="I32" s="22"/>
      <c r="J32" s="28" t="s">
        <v>325</v>
      </c>
    </row>
    <row r="33" spans="1:10" s="20" customFormat="1" x14ac:dyDescent="0.25">
      <c r="A33" s="14">
        <v>46083</v>
      </c>
      <c r="B33" s="20" t="s">
        <v>360</v>
      </c>
      <c r="C33" s="6" t="s">
        <v>169</v>
      </c>
      <c r="D33" s="20" t="s">
        <v>26</v>
      </c>
      <c r="E33" s="20" t="s">
        <v>52</v>
      </c>
      <c r="F33" s="6">
        <v>1</v>
      </c>
      <c r="G33" s="6"/>
      <c r="H33" s="6"/>
      <c r="I33" s="22"/>
      <c r="J33" s="28" t="s">
        <v>325</v>
      </c>
    </row>
    <row r="34" spans="1:10" s="20" customFormat="1" x14ac:dyDescent="0.25">
      <c r="A34" s="14">
        <v>46084</v>
      </c>
      <c r="B34" s="20" t="s">
        <v>338</v>
      </c>
      <c r="C34" s="6" t="s">
        <v>191</v>
      </c>
      <c r="D34" s="20" t="s">
        <v>473</v>
      </c>
      <c r="E34" s="37" t="s">
        <v>51</v>
      </c>
      <c r="F34" s="6">
        <v>1</v>
      </c>
      <c r="G34" s="6"/>
      <c r="H34" s="6"/>
      <c r="I34" s="22"/>
      <c r="J34" s="28" t="s">
        <v>325</v>
      </c>
    </row>
    <row r="35" spans="1:10" s="20" customFormat="1" x14ac:dyDescent="0.25">
      <c r="A35" s="14">
        <v>46084</v>
      </c>
      <c r="B35" s="93" t="s">
        <v>529</v>
      </c>
      <c r="C35" s="7" t="s">
        <v>225</v>
      </c>
      <c r="D35" s="93" t="s">
        <v>507</v>
      </c>
      <c r="E35" s="93" t="s">
        <v>51</v>
      </c>
      <c r="F35" s="7">
        <v>1</v>
      </c>
      <c r="G35" s="7"/>
      <c r="H35" s="7"/>
      <c r="I35" s="24"/>
      <c r="J35" s="29"/>
    </row>
    <row r="36" spans="1:10" s="20" customFormat="1" x14ac:dyDescent="0.25">
      <c r="A36" s="14">
        <v>46084</v>
      </c>
      <c r="B36" s="93" t="s">
        <v>529</v>
      </c>
      <c r="C36" s="7" t="s">
        <v>215</v>
      </c>
      <c r="D36" s="93" t="s">
        <v>497</v>
      </c>
      <c r="E36" s="93" t="s">
        <v>51</v>
      </c>
      <c r="F36" s="7">
        <v>1</v>
      </c>
      <c r="G36" s="7"/>
      <c r="H36" s="7"/>
      <c r="I36" s="24"/>
      <c r="J36" s="29"/>
    </row>
    <row r="37" spans="1:10" s="20" customFormat="1" x14ac:dyDescent="0.25">
      <c r="A37" s="14">
        <v>46084</v>
      </c>
      <c r="B37" s="93" t="s">
        <v>529</v>
      </c>
      <c r="C37" s="7" t="s">
        <v>199</v>
      </c>
      <c r="D37" s="93" t="s">
        <v>481</v>
      </c>
      <c r="E37" s="93" t="s">
        <v>51</v>
      </c>
      <c r="F37" s="7">
        <v>1</v>
      </c>
      <c r="G37" s="7"/>
      <c r="H37" s="7"/>
      <c r="I37" s="24"/>
      <c r="J37" s="29"/>
    </row>
    <row r="38" spans="1:10" s="20" customFormat="1" x14ac:dyDescent="0.25">
      <c r="A38" s="14">
        <v>46084</v>
      </c>
      <c r="B38" s="93" t="s">
        <v>529</v>
      </c>
      <c r="C38" s="7" t="s">
        <v>194</v>
      </c>
      <c r="D38" s="93" t="s">
        <v>476</v>
      </c>
      <c r="E38" s="93" t="s">
        <v>51</v>
      </c>
      <c r="F38" s="7">
        <v>1</v>
      </c>
      <c r="G38" s="7"/>
      <c r="H38" s="7"/>
      <c r="I38" s="24"/>
      <c r="J38" s="29"/>
    </row>
    <row r="39" spans="1:10" s="20" customFormat="1" x14ac:dyDescent="0.25">
      <c r="A39" s="14">
        <v>46084</v>
      </c>
      <c r="B39" s="93" t="s">
        <v>529</v>
      </c>
      <c r="C39" s="7" t="s">
        <v>228</v>
      </c>
      <c r="D39" s="93" t="s">
        <v>510</v>
      </c>
      <c r="E39" s="93" t="s">
        <v>51</v>
      </c>
      <c r="F39" s="7">
        <v>2</v>
      </c>
      <c r="G39" s="7"/>
      <c r="H39" s="7"/>
      <c r="I39" s="24"/>
      <c r="J39" s="29"/>
    </row>
    <row r="40" spans="1:10" s="20" customFormat="1" x14ac:dyDescent="0.25">
      <c r="A40" s="14">
        <v>46084</v>
      </c>
      <c r="B40" s="20" t="s">
        <v>546</v>
      </c>
      <c r="C40" s="6" t="s">
        <v>213</v>
      </c>
      <c r="D40" s="20" t="s">
        <v>495</v>
      </c>
      <c r="E40" s="20" t="s">
        <v>51</v>
      </c>
      <c r="F40" s="6">
        <v>1</v>
      </c>
      <c r="G40" s="6"/>
      <c r="H40" s="6"/>
      <c r="I40" s="22"/>
      <c r="J40" s="28" t="s">
        <v>325</v>
      </c>
    </row>
    <row r="41" spans="1:10" s="20" customFormat="1" x14ac:dyDescent="0.25">
      <c r="A41" s="14">
        <v>46084</v>
      </c>
      <c r="B41" s="20" t="s">
        <v>528</v>
      </c>
      <c r="C41" s="6" t="s">
        <v>217</v>
      </c>
      <c r="D41" s="20" t="s">
        <v>499</v>
      </c>
      <c r="E41" s="20" t="s">
        <v>51</v>
      </c>
      <c r="F41" s="6">
        <v>1</v>
      </c>
      <c r="G41" s="6"/>
      <c r="H41" s="6"/>
      <c r="I41" s="22"/>
      <c r="J41" s="28" t="s">
        <v>325</v>
      </c>
    </row>
    <row r="42" spans="1:10" s="20" customFormat="1" x14ac:dyDescent="0.25">
      <c r="A42" s="14">
        <v>46084</v>
      </c>
      <c r="B42" s="20" t="s">
        <v>545</v>
      </c>
      <c r="C42" s="6" t="s">
        <v>197</v>
      </c>
      <c r="D42" s="20" t="s">
        <v>479</v>
      </c>
      <c r="E42" s="20" t="s">
        <v>51</v>
      </c>
      <c r="F42" s="6">
        <v>1</v>
      </c>
      <c r="G42" s="6"/>
      <c r="H42" s="6"/>
      <c r="I42" s="22"/>
      <c r="J42" s="28" t="s">
        <v>573</v>
      </c>
    </row>
    <row r="43" spans="1:10" s="20" customFormat="1" x14ac:dyDescent="0.25">
      <c r="A43" s="14">
        <v>46084</v>
      </c>
      <c r="B43" s="93" t="s">
        <v>338</v>
      </c>
      <c r="C43" s="7" t="s">
        <v>149</v>
      </c>
      <c r="D43" s="93" t="s">
        <v>425</v>
      </c>
      <c r="E43" s="93" t="s">
        <v>52</v>
      </c>
      <c r="F43" s="7">
        <v>1</v>
      </c>
      <c r="G43" s="7"/>
      <c r="H43" s="7"/>
      <c r="I43" s="24"/>
      <c r="J43" s="29"/>
    </row>
    <row r="44" spans="1:10" s="20" customFormat="1" x14ac:dyDescent="0.25">
      <c r="A44" s="14">
        <v>46084</v>
      </c>
      <c r="B44" s="93" t="s">
        <v>529</v>
      </c>
      <c r="C44" s="7" t="s">
        <v>145</v>
      </c>
      <c r="D44" s="93" t="s">
        <v>421</v>
      </c>
      <c r="E44" s="104" t="s">
        <v>52</v>
      </c>
      <c r="F44" s="7">
        <v>1</v>
      </c>
      <c r="G44" s="7"/>
      <c r="H44" s="7"/>
      <c r="I44" s="24"/>
      <c r="J44" s="29"/>
    </row>
    <row r="45" spans="1:10" s="20" customFormat="1" x14ac:dyDescent="0.25">
      <c r="A45" s="14">
        <v>46084</v>
      </c>
      <c r="B45" s="93" t="s">
        <v>529</v>
      </c>
      <c r="C45" s="7" t="s">
        <v>169</v>
      </c>
      <c r="D45" s="93" t="s">
        <v>445</v>
      </c>
      <c r="E45" s="93" t="s">
        <v>52</v>
      </c>
      <c r="F45" s="7">
        <v>1</v>
      </c>
      <c r="G45" s="7"/>
      <c r="H45" s="7"/>
      <c r="I45" s="24"/>
      <c r="J45" s="29"/>
    </row>
    <row r="46" spans="1:10" s="20" customFormat="1" x14ac:dyDescent="0.25">
      <c r="A46" s="14">
        <v>46084</v>
      </c>
      <c r="B46" s="93" t="s">
        <v>550</v>
      </c>
      <c r="C46" s="7" t="s">
        <v>122</v>
      </c>
      <c r="D46" s="93" t="s">
        <v>402</v>
      </c>
      <c r="E46" s="93" t="s">
        <v>52</v>
      </c>
      <c r="F46" s="7">
        <v>1</v>
      </c>
      <c r="G46" s="7"/>
      <c r="H46" s="7"/>
      <c r="I46" s="24"/>
      <c r="J46" s="29"/>
    </row>
    <row r="47" spans="1:10" s="20" customFormat="1" x14ac:dyDescent="0.25">
      <c r="A47" s="14">
        <v>46084</v>
      </c>
      <c r="B47" s="20" t="s">
        <v>527</v>
      </c>
      <c r="C47" s="6" t="s">
        <v>135</v>
      </c>
      <c r="D47" s="20" t="s">
        <v>415</v>
      </c>
      <c r="E47" s="20" t="s">
        <v>52</v>
      </c>
      <c r="F47" s="6">
        <v>2</v>
      </c>
      <c r="G47" s="6"/>
      <c r="H47" s="6"/>
      <c r="I47" s="22"/>
      <c r="J47" s="28" t="s">
        <v>325</v>
      </c>
    </row>
    <row r="48" spans="1:10" s="20" customFormat="1" x14ac:dyDescent="0.25">
      <c r="A48" s="14">
        <v>46084</v>
      </c>
      <c r="B48" s="93" t="s">
        <v>528</v>
      </c>
      <c r="C48" s="7" t="s">
        <v>55</v>
      </c>
      <c r="D48" s="93" t="s">
        <v>9</v>
      </c>
      <c r="E48" s="93" t="s">
        <v>13</v>
      </c>
      <c r="F48" s="7">
        <v>1</v>
      </c>
      <c r="G48" s="7"/>
      <c r="H48" s="7"/>
      <c r="I48" s="24"/>
      <c r="J48" s="29"/>
    </row>
    <row r="49" spans="1:10" s="20" customFormat="1" x14ac:dyDescent="0.25">
      <c r="A49" s="14">
        <v>46084</v>
      </c>
      <c r="B49" s="93" t="s">
        <v>528</v>
      </c>
      <c r="C49" s="7" t="s">
        <v>57</v>
      </c>
      <c r="D49" s="93" t="s">
        <v>11</v>
      </c>
      <c r="E49" s="93" t="s">
        <v>13</v>
      </c>
      <c r="F49" s="7">
        <v>1</v>
      </c>
      <c r="G49" s="7"/>
      <c r="H49" s="7"/>
      <c r="I49" s="24"/>
      <c r="J49" s="29"/>
    </row>
    <row r="50" spans="1:10" s="20" customFormat="1" x14ac:dyDescent="0.25">
      <c r="A50" s="14">
        <v>46084</v>
      </c>
      <c r="B50" s="93" t="s">
        <v>528</v>
      </c>
      <c r="C50" s="7" t="s">
        <v>253</v>
      </c>
      <c r="D50" s="93" t="s">
        <v>43</v>
      </c>
      <c r="E50" s="93" t="s">
        <v>50</v>
      </c>
      <c r="F50" s="7">
        <v>1</v>
      </c>
      <c r="G50" s="7"/>
      <c r="H50" s="7"/>
      <c r="I50" s="24"/>
      <c r="J50" s="29"/>
    </row>
    <row r="51" spans="1:10" s="20" customFormat="1" x14ac:dyDescent="0.25">
      <c r="A51" s="14">
        <v>46084</v>
      </c>
      <c r="B51" s="93" t="s">
        <v>528</v>
      </c>
      <c r="C51" s="7" t="s">
        <v>259</v>
      </c>
      <c r="D51" s="93" t="s">
        <v>49</v>
      </c>
      <c r="E51" s="93" t="s">
        <v>50</v>
      </c>
      <c r="F51" s="7">
        <v>1</v>
      </c>
      <c r="G51" s="7"/>
      <c r="H51" s="7"/>
      <c r="I51" s="24"/>
      <c r="J51" s="29"/>
    </row>
    <row r="52" spans="1:10" s="20" customFormat="1" x14ac:dyDescent="0.25">
      <c r="A52" s="14">
        <v>46085</v>
      </c>
      <c r="B52" s="20" t="s">
        <v>548</v>
      </c>
      <c r="C52" s="6" t="s">
        <v>228</v>
      </c>
      <c r="D52" s="20" t="s">
        <v>510</v>
      </c>
      <c r="E52" s="20" t="s">
        <v>51</v>
      </c>
      <c r="F52" s="6">
        <v>1</v>
      </c>
      <c r="G52" s="6"/>
      <c r="H52" s="6"/>
      <c r="I52" s="22"/>
      <c r="J52" s="28" t="s">
        <v>325</v>
      </c>
    </row>
    <row r="53" spans="1:10" s="20" customFormat="1" x14ac:dyDescent="0.25">
      <c r="A53" s="14">
        <v>46085</v>
      </c>
      <c r="B53" s="20" t="s">
        <v>548</v>
      </c>
      <c r="C53" s="6" t="s">
        <v>236</v>
      </c>
      <c r="D53" s="20" t="s">
        <v>518</v>
      </c>
      <c r="E53" s="20" t="s">
        <v>51</v>
      </c>
      <c r="F53" s="6">
        <v>1</v>
      </c>
      <c r="G53" s="6"/>
      <c r="H53" s="6"/>
      <c r="I53" s="22"/>
      <c r="J53" s="28" t="s">
        <v>325</v>
      </c>
    </row>
    <row r="54" spans="1:10" s="20" customFormat="1" x14ac:dyDescent="0.25">
      <c r="A54" s="14">
        <v>46085</v>
      </c>
      <c r="B54" s="20" t="s">
        <v>548</v>
      </c>
      <c r="C54" s="72" t="s">
        <v>183</v>
      </c>
      <c r="D54" s="20" t="s">
        <v>465</v>
      </c>
      <c r="E54" s="94" t="s">
        <v>51</v>
      </c>
      <c r="F54" s="6">
        <v>1</v>
      </c>
      <c r="G54" s="6"/>
      <c r="H54" s="6"/>
      <c r="I54" s="22"/>
      <c r="J54" s="28" t="s">
        <v>325</v>
      </c>
    </row>
    <row r="55" spans="1:10" s="20" customFormat="1" x14ac:dyDescent="0.25">
      <c r="A55" s="14">
        <v>46085</v>
      </c>
      <c r="B55" s="20" t="s">
        <v>547</v>
      </c>
      <c r="C55" s="6" t="s">
        <v>280</v>
      </c>
      <c r="D55" s="20" t="s">
        <v>281</v>
      </c>
      <c r="E55" s="20" t="s">
        <v>53</v>
      </c>
      <c r="F55" s="6">
        <v>3</v>
      </c>
      <c r="G55" s="6"/>
      <c r="H55" s="6"/>
      <c r="I55" s="22"/>
      <c r="J55" s="28" t="s">
        <v>325</v>
      </c>
    </row>
    <row r="56" spans="1:10" s="20" customFormat="1" x14ac:dyDescent="0.25">
      <c r="A56" s="14">
        <v>46085</v>
      </c>
      <c r="B56" s="20" t="s">
        <v>547</v>
      </c>
      <c r="C56" s="6" t="s">
        <v>322</v>
      </c>
      <c r="D56" s="20" t="s">
        <v>363</v>
      </c>
      <c r="E56" s="20" t="s">
        <v>53</v>
      </c>
      <c r="F56" s="6">
        <v>2</v>
      </c>
      <c r="G56" s="6"/>
      <c r="H56" s="6"/>
      <c r="I56" s="22"/>
      <c r="J56" s="28" t="s">
        <v>325</v>
      </c>
    </row>
    <row r="57" spans="1:10" s="20" customFormat="1" x14ac:dyDescent="0.25">
      <c r="A57" s="14">
        <v>46085</v>
      </c>
      <c r="B57" s="20" t="s">
        <v>547</v>
      </c>
      <c r="C57" s="6" t="s">
        <v>77</v>
      </c>
      <c r="D57" s="20" t="s">
        <v>349</v>
      </c>
      <c r="E57" s="20" t="s">
        <v>53</v>
      </c>
      <c r="F57" s="6">
        <v>2</v>
      </c>
      <c r="G57" s="6"/>
      <c r="H57" s="6"/>
      <c r="I57" s="22"/>
      <c r="J57" s="28" t="s">
        <v>325</v>
      </c>
    </row>
    <row r="58" spans="1:10" s="20" customFormat="1" x14ac:dyDescent="0.25">
      <c r="A58" s="14">
        <v>46085</v>
      </c>
      <c r="B58" s="20" t="s">
        <v>548</v>
      </c>
      <c r="C58" s="6" t="s">
        <v>280</v>
      </c>
      <c r="D58" s="20" t="s">
        <v>281</v>
      </c>
      <c r="E58" s="20" t="s">
        <v>53</v>
      </c>
      <c r="F58" s="6">
        <v>1</v>
      </c>
      <c r="G58" s="6"/>
      <c r="H58" s="6"/>
      <c r="I58" s="22"/>
      <c r="J58" s="28" t="s">
        <v>325</v>
      </c>
    </row>
    <row r="59" spans="1:10" s="20" customFormat="1" x14ac:dyDescent="0.25">
      <c r="A59" s="14">
        <v>46085</v>
      </c>
      <c r="B59" s="20" t="s">
        <v>547</v>
      </c>
      <c r="C59" s="6" t="s">
        <v>147</v>
      </c>
      <c r="D59" s="20" t="s">
        <v>423</v>
      </c>
      <c r="E59" s="20" t="s">
        <v>52</v>
      </c>
      <c r="F59" s="6">
        <v>2</v>
      </c>
      <c r="G59" s="6"/>
      <c r="H59" s="6"/>
      <c r="I59" s="22"/>
      <c r="J59" s="28" t="s">
        <v>325</v>
      </c>
    </row>
    <row r="60" spans="1:10" s="20" customFormat="1" x14ac:dyDescent="0.25">
      <c r="A60" s="14">
        <v>46085</v>
      </c>
      <c r="B60" s="20" t="s">
        <v>547</v>
      </c>
      <c r="C60" s="6" t="s">
        <v>177</v>
      </c>
      <c r="D60" s="20" t="s">
        <v>453</v>
      </c>
      <c r="E60" s="20" t="s">
        <v>52</v>
      </c>
      <c r="F60" s="6">
        <v>1</v>
      </c>
      <c r="G60" s="6"/>
      <c r="H60" s="6"/>
      <c r="I60" s="22"/>
      <c r="J60" s="28" t="s">
        <v>325</v>
      </c>
    </row>
    <row r="61" spans="1:10" s="20" customFormat="1" x14ac:dyDescent="0.25">
      <c r="A61" s="14">
        <v>46085</v>
      </c>
      <c r="B61" s="20" t="s">
        <v>547</v>
      </c>
      <c r="C61" s="6" t="s">
        <v>133</v>
      </c>
      <c r="D61" s="20" t="s">
        <v>413</v>
      </c>
      <c r="E61" s="20" t="s">
        <v>52</v>
      </c>
      <c r="F61" s="6">
        <v>2</v>
      </c>
      <c r="G61" s="6"/>
      <c r="H61" s="6"/>
      <c r="I61" s="22"/>
      <c r="J61" s="28" t="s">
        <v>325</v>
      </c>
    </row>
    <row r="62" spans="1:10" s="20" customFormat="1" x14ac:dyDescent="0.25">
      <c r="A62" s="14">
        <v>46085</v>
      </c>
      <c r="B62" s="20" t="s">
        <v>547</v>
      </c>
      <c r="C62" s="6" t="s">
        <v>136</v>
      </c>
      <c r="D62" s="20" t="s">
        <v>416</v>
      </c>
      <c r="E62" s="20" t="s">
        <v>52</v>
      </c>
      <c r="F62" s="6">
        <v>2</v>
      </c>
      <c r="G62" s="6"/>
      <c r="H62" s="6"/>
      <c r="I62" s="22"/>
      <c r="J62" s="28" t="s">
        <v>325</v>
      </c>
    </row>
    <row r="63" spans="1:10" s="20" customFormat="1" x14ac:dyDescent="0.25">
      <c r="A63" s="14">
        <v>46085</v>
      </c>
      <c r="B63" s="20" t="s">
        <v>547</v>
      </c>
      <c r="C63" s="6" t="s">
        <v>313</v>
      </c>
      <c r="D63" s="20" t="s">
        <v>460</v>
      </c>
      <c r="E63" s="20" t="s">
        <v>52</v>
      </c>
      <c r="F63" s="6">
        <v>6</v>
      </c>
      <c r="G63" s="6"/>
      <c r="H63" s="6"/>
      <c r="I63" s="22"/>
      <c r="J63" s="28" t="s">
        <v>325</v>
      </c>
    </row>
    <row r="64" spans="1:10" s="20" customFormat="1" x14ac:dyDescent="0.25">
      <c r="A64" s="14">
        <v>46085</v>
      </c>
      <c r="B64" s="20" t="s">
        <v>547</v>
      </c>
      <c r="C64" s="6" t="s">
        <v>140</v>
      </c>
      <c r="D64" s="20" t="s">
        <v>419</v>
      </c>
      <c r="E64" s="20" t="s">
        <v>52</v>
      </c>
      <c r="F64" s="6">
        <v>3</v>
      </c>
      <c r="G64" s="6"/>
      <c r="H64" s="6"/>
      <c r="I64" s="22"/>
      <c r="J64" s="28" t="s">
        <v>325</v>
      </c>
    </row>
    <row r="65" spans="1:10" s="20" customFormat="1" x14ac:dyDescent="0.25">
      <c r="A65" s="14">
        <v>46085</v>
      </c>
      <c r="B65" s="20" t="s">
        <v>547</v>
      </c>
      <c r="C65" s="6" t="s">
        <v>178</v>
      </c>
      <c r="D65" s="20" t="s">
        <v>454</v>
      </c>
      <c r="E65" s="20" t="s">
        <v>52</v>
      </c>
      <c r="F65" s="6">
        <v>1</v>
      </c>
      <c r="G65" s="6"/>
      <c r="H65" s="6"/>
      <c r="I65" s="22"/>
      <c r="J65" s="28" t="s">
        <v>325</v>
      </c>
    </row>
    <row r="66" spans="1:10" s="20" customFormat="1" x14ac:dyDescent="0.25">
      <c r="A66" s="14">
        <v>46085</v>
      </c>
      <c r="B66" s="20" t="s">
        <v>547</v>
      </c>
      <c r="C66" s="6" t="s">
        <v>171</v>
      </c>
      <c r="D66" s="20" t="s">
        <v>447</v>
      </c>
      <c r="E66" s="37" t="s">
        <v>52</v>
      </c>
      <c r="F66" s="6">
        <v>1</v>
      </c>
      <c r="G66" s="6"/>
      <c r="H66" s="6"/>
      <c r="I66" s="22"/>
      <c r="J66" s="28" t="s">
        <v>325</v>
      </c>
    </row>
    <row r="67" spans="1:10" s="20" customFormat="1" x14ac:dyDescent="0.25">
      <c r="A67" s="14">
        <v>46085</v>
      </c>
      <c r="B67" s="20" t="s">
        <v>547</v>
      </c>
      <c r="C67" s="6" t="s">
        <v>142</v>
      </c>
      <c r="D67" s="20" t="s">
        <v>337</v>
      </c>
      <c r="E67" s="20" t="s">
        <v>52</v>
      </c>
      <c r="F67" s="6">
        <v>2</v>
      </c>
      <c r="G67" s="6"/>
      <c r="H67" s="6"/>
      <c r="I67" s="22"/>
      <c r="J67" s="28" t="s">
        <v>325</v>
      </c>
    </row>
    <row r="68" spans="1:10" s="20" customFormat="1" x14ac:dyDescent="0.25">
      <c r="A68" s="14">
        <v>46085</v>
      </c>
      <c r="B68" s="20" t="s">
        <v>547</v>
      </c>
      <c r="C68" s="6" t="s">
        <v>144</v>
      </c>
      <c r="D68" s="20" t="s">
        <v>335</v>
      </c>
      <c r="E68" s="20" t="s">
        <v>52</v>
      </c>
      <c r="F68" s="6">
        <v>3</v>
      </c>
      <c r="G68" s="6"/>
      <c r="H68" s="6"/>
      <c r="I68" s="22"/>
      <c r="J68" s="28" t="s">
        <v>325</v>
      </c>
    </row>
    <row r="69" spans="1:10" s="20" customFormat="1" x14ac:dyDescent="0.25">
      <c r="A69" s="14">
        <v>46085</v>
      </c>
      <c r="B69" s="20" t="s">
        <v>547</v>
      </c>
      <c r="C69" s="6" t="s">
        <v>272</v>
      </c>
      <c r="D69" s="20" t="s">
        <v>458</v>
      </c>
      <c r="E69" s="20" t="s">
        <v>52</v>
      </c>
      <c r="F69" s="6">
        <v>1</v>
      </c>
      <c r="G69" s="6"/>
      <c r="H69" s="6"/>
      <c r="I69" s="22"/>
      <c r="J69" s="28" t="s">
        <v>325</v>
      </c>
    </row>
    <row r="70" spans="1:10" s="20" customFormat="1" x14ac:dyDescent="0.25">
      <c r="A70" s="14">
        <v>46085</v>
      </c>
      <c r="B70" s="20" t="s">
        <v>547</v>
      </c>
      <c r="C70" s="6" t="s">
        <v>180</v>
      </c>
      <c r="D70" s="20" t="s">
        <v>456</v>
      </c>
      <c r="E70" s="20" t="s">
        <v>52</v>
      </c>
      <c r="F70" s="6">
        <v>3</v>
      </c>
      <c r="G70" s="6"/>
      <c r="H70" s="6"/>
      <c r="I70" s="22"/>
      <c r="J70" s="28" t="s">
        <v>325</v>
      </c>
    </row>
    <row r="71" spans="1:10" s="20" customFormat="1" x14ac:dyDescent="0.25">
      <c r="A71" s="14">
        <v>46085</v>
      </c>
      <c r="B71" s="20" t="s">
        <v>547</v>
      </c>
      <c r="C71" s="6" t="s">
        <v>173</v>
      </c>
      <c r="D71" s="20" t="s">
        <v>449</v>
      </c>
      <c r="E71" s="20" t="s">
        <v>52</v>
      </c>
      <c r="F71" s="6">
        <v>6</v>
      </c>
      <c r="G71" s="6"/>
      <c r="H71" s="6"/>
      <c r="I71" s="22"/>
      <c r="J71" s="28" t="s">
        <v>325</v>
      </c>
    </row>
    <row r="72" spans="1:10" s="20" customFormat="1" x14ac:dyDescent="0.25">
      <c r="A72" s="14">
        <v>46085</v>
      </c>
      <c r="B72" s="20" t="s">
        <v>548</v>
      </c>
      <c r="C72" s="6" t="s">
        <v>175</v>
      </c>
      <c r="D72" s="20" t="s">
        <v>451</v>
      </c>
      <c r="E72" s="20" t="s">
        <v>52</v>
      </c>
      <c r="F72" s="6">
        <v>1</v>
      </c>
      <c r="G72" s="6"/>
      <c r="H72" s="6"/>
      <c r="I72" s="22"/>
      <c r="J72" s="28" t="s">
        <v>325</v>
      </c>
    </row>
    <row r="73" spans="1:10" s="20" customFormat="1" x14ac:dyDescent="0.25">
      <c r="A73" s="14">
        <v>46085</v>
      </c>
      <c r="B73" s="20" t="s">
        <v>548</v>
      </c>
      <c r="C73" s="6" t="s">
        <v>143</v>
      </c>
      <c r="D73" s="20" t="s">
        <v>336</v>
      </c>
      <c r="E73" s="20" t="s">
        <v>52</v>
      </c>
      <c r="F73" s="6">
        <v>1</v>
      </c>
      <c r="G73" s="6"/>
      <c r="H73" s="6"/>
      <c r="I73" s="22"/>
      <c r="J73" s="28" t="s">
        <v>325</v>
      </c>
    </row>
    <row r="74" spans="1:10" s="20" customFormat="1" x14ac:dyDescent="0.25">
      <c r="A74" s="14">
        <v>46085</v>
      </c>
      <c r="B74" s="20" t="s">
        <v>360</v>
      </c>
      <c r="C74" s="6" t="s">
        <v>140</v>
      </c>
      <c r="D74" s="20" t="s">
        <v>419</v>
      </c>
      <c r="E74" s="20" t="s">
        <v>52</v>
      </c>
      <c r="F74" s="6">
        <v>1</v>
      </c>
      <c r="G74" s="6"/>
      <c r="H74" s="6"/>
      <c r="I74" s="22"/>
      <c r="J74" s="28" t="s">
        <v>325</v>
      </c>
    </row>
    <row r="75" spans="1:10" s="20" customFormat="1" x14ac:dyDescent="0.25">
      <c r="A75" s="14">
        <v>46085</v>
      </c>
      <c r="B75" s="20" t="s">
        <v>360</v>
      </c>
      <c r="C75" s="6" t="s">
        <v>169</v>
      </c>
      <c r="D75" s="20" t="s">
        <v>445</v>
      </c>
      <c r="E75" s="20" t="s">
        <v>52</v>
      </c>
      <c r="F75" s="6">
        <v>1</v>
      </c>
      <c r="G75" s="6"/>
      <c r="H75" s="6"/>
      <c r="I75" s="22"/>
      <c r="J75" s="28" t="s">
        <v>325</v>
      </c>
    </row>
    <row r="76" spans="1:10" s="20" customFormat="1" x14ac:dyDescent="0.25">
      <c r="A76" s="14">
        <v>46085</v>
      </c>
      <c r="B76" s="20" t="s">
        <v>548</v>
      </c>
      <c r="C76" s="6" t="s">
        <v>60</v>
      </c>
      <c r="D76" s="20" t="s">
        <v>15</v>
      </c>
      <c r="E76" s="20" t="s">
        <v>549</v>
      </c>
      <c r="F76" s="6">
        <v>3</v>
      </c>
      <c r="G76" s="6"/>
      <c r="H76" s="6"/>
      <c r="I76" s="22"/>
      <c r="J76" s="28" t="s">
        <v>325</v>
      </c>
    </row>
    <row r="77" spans="1:10" s="20" customFormat="1" x14ac:dyDescent="0.25">
      <c r="A77" s="14">
        <v>46085</v>
      </c>
      <c r="B77" s="20" t="s">
        <v>338</v>
      </c>
      <c r="C77" s="6" t="s">
        <v>57</v>
      </c>
      <c r="D77" s="20" t="s">
        <v>11</v>
      </c>
      <c r="E77" s="20" t="s">
        <v>13</v>
      </c>
      <c r="F77" s="6">
        <v>1</v>
      </c>
      <c r="G77" s="6"/>
      <c r="H77" s="6"/>
      <c r="I77" s="22"/>
      <c r="J77" s="28" t="s">
        <v>325</v>
      </c>
    </row>
    <row r="78" spans="1:10" s="20" customFormat="1" x14ac:dyDescent="0.25">
      <c r="A78" s="14">
        <v>46086</v>
      </c>
      <c r="B78" s="20" t="s">
        <v>558</v>
      </c>
      <c r="C78" s="6" t="s">
        <v>228</v>
      </c>
      <c r="D78" s="20" t="s">
        <v>510</v>
      </c>
      <c r="E78" s="20" t="s">
        <v>51</v>
      </c>
      <c r="F78" s="6">
        <v>1</v>
      </c>
      <c r="G78" s="6"/>
      <c r="H78" s="6"/>
      <c r="I78" s="22"/>
      <c r="J78" s="28" t="s">
        <v>325</v>
      </c>
    </row>
    <row r="79" spans="1:10" s="20" customFormat="1" x14ac:dyDescent="0.25">
      <c r="A79" s="14">
        <v>46086</v>
      </c>
      <c r="B79" s="93" t="s">
        <v>557</v>
      </c>
      <c r="C79" s="7" t="s">
        <v>229</v>
      </c>
      <c r="D79" s="93" t="s">
        <v>511</v>
      </c>
      <c r="E79" s="93" t="s">
        <v>51</v>
      </c>
      <c r="F79" s="7">
        <v>1</v>
      </c>
      <c r="G79" s="7"/>
      <c r="H79" s="7"/>
      <c r="I79" s="24"/>
      <c r="J79" s="29"/>
    </row>
    <row r="80" spans="1:10" s="20" customFormat="1" x14ac:dyDescent="0.25">
      <c r="A80" s="14">
        <v>46086</v>
      </c>
      <c r="B80" s="20" t="s">
        <v>553</v>
      </c>
      <c r="C80" s="6" t="s">
        <v>191</v>
      </c>
      <c r="D80" s="20" t="s">
        <v>473</v>
      </c>
      <c r="E80" s="20" t="s">
        <v>51</v>
      </c>
      <c r="F80" s="6">
        <v>1</v>
      </c>
      <c r="G80" s="6"/>
      <c r="H80" s="6"/>
      <c r="I80" s="22"/>
      <c r="J80" s="28" t="s">
        <v>325</v>
      </c>
    </row>
    <row r="81" spans="1:10" s="20" customFormat="1" x14ac:dyDescent="0.25">
      <c r="A81" s="14">
        <v>46086</v>
      </c>
      <c r="B81" s="20" t="s">
        <v>553</v>
      </c>
      <c r="C81" s="6" t="s">
        <v>228</v>
      </c>
      <c r="D81" s="20" t="s">
        <v>510</v>
      </c>
      <c r="E81" s="20" t="s">
        <v>51</v>
      </c>
      <c r="F81" s="6">
        <v>1</v>
      </c>
      <c r="G81" s="6"/>
      <c r="H81" s="6"/>
      <c r="I81" s="22"/>
      <c r="J81" s="28" t="s">
        <v>325</v>
      </c>
    </row>
    <row r="82" spans="1:10" s="20" customFormat="1" x14ac:dyDescent="0.25">
      <c r="A82" s="14">
        <v>46086</v>
      </c>
      <c r="B82" s="20" t="s">
        <v>551</v>
      </c>
      <c r="C82" s="6" t="s">
        <v>199</v>
      </c>
      <c r="D82" s="20" t="s">
        <v>481</v>
      </c>
      <c r="E82" s="20" t="s">
        <v>51</v>
      </c>
      <c r="F82" s="6">
        <v>1</v>
      </c>
      <c r="G82" s="6"/>
      <c r="H82" s="6"/>
      <c r="I82" s="22"/>
      <c r="J82" s="28" t="s">
        <v>325</v>
      </c>
    </row>
    <row r="83" spans="1:10" s="20" customFormat="1" x14ac:dyDescent="0.25">
      <c r="A83" s="14">
        <v>46086</v>
      </c>
      <c r="B83" s="20" t="s">
        <v>528</v>
      </c>
      <c r="C83" s="6" t="s">
        <v>228</v>
      </c>
      <c r="D83" s="20" t="s">
        <v>510</v>
      </c>
      <c r="E83" s="20" t="s">
        <v>51</v>
      </c>
      <c r="F83" s="6">
        <v>1</v>
      </c>
      <c r="G83" s="6"/>
      <c r="H83" s="6"/>
      <c r="I83" s="22"/>
      <c r="J83" s="28" t="s">
        <v>325</v>
      </c>
    </row>
    <row r="84" spans="1:10" s="20" customFormat="1" x14ac:dyDescent="0.25">
      <c r="A84" s="14">
        <v>46086</v>
      </c>
      <c r="B84" s="20" t="s">
        <v>558</v>
      </c>
      <c r="C84" s="6" t="s">
        <v>65</v>
      </c>
      <c r="D84" s="20" t="s">
        <v>20</v>
      </c>
      <c r="E84" s="20" t="s">
        <v>53</v>
      </c>
      <c r="F84" s="6">
        <v>1</v>
      </c>
      <c r="G84" s="6"/>
      <c r="H84" s="6"/>
      <c r="I84" s="22"/>
      <c r="J84" s="28" t="s">
        <v>325</v>
      </c>
    </row>
    <row r="85" spans="1:10" s="20" customFormat="1" x14ac:dyDescent="0.25">
      <c r="A85" s="14">
        <v>46086</v>
      </c>
      <c r="B85" s="20" t="s">
        <v>558</v>
      </c>
      <c r="C85" s="6" t="s">
        <v>120</v>
      </c>
      <c r="D85" s="20" t="s">
        <v>366</v>
      </c>
      <c r="E85" s="20" t="s">
        <v>53</v>
      </c>
      <c r="F85" s="6">
        <v>1</v>
      </c>
      <c r="G85" s="6"/>
      <c r="H85" s="6"/>
      <c r="I85" s="22"/>
      <c r="J85" s="28" t="s">
        <v>325</v>
      </c>
    </row>
    <row r="86" spans="1:10" s="20" customFormat="1" x14ac:dyDescent="0.25">
      <c r="A86" s="14">
        <v>46086</v>
      </c>
      <c r="B86" s="20" t="s">
        <v>552</v>
      </c>
      <c r="C86" s="6" t="s">
        <v>118</v>
      </c>
      <c r="D86" s="20" t="s">
        <v>368</v>
      </c>
      <c r="E86" s="20" t="s">
        <v>53</v>
      </c>
      <c r="F86" s="6">
        <v>1</v>
      </c>
      <c r="G86" s="6"/>
      <c r="H86" s="6"/>
      <c r="I86" s="22"/>
      <c r="J86" s="28" t="s">
        <v>325</v>
      </c>
    </row>
    <row r="87" spans="1:10" s="20" customFormat="1" x14ac:dyDescent="0.25">
      <c r="A87" s="14">
        <v>46086</v>
      </c>
      <c r="B87" s="20" t="s">
        <v>553</v>
      </c>
      <c r="C87" s="6" t="s">
        <v>113</v>
      </c>
      <c r="D87" s="20" t="s">
        <v>373</v>
      </c>
      <c r="E87" s="20" t="s">
        <v>53</v>
      </c>
      <c r="F87" s="6">
        <v>1</v>
      </c>
      <c r="G87" s="6"/>
      <c r="H87" s="6"/>
      <c r="I87" s="22"/>
      <c r="J87" s="28" t="s">
        <v>325</v>
      </c>
    </row>
    <row r="88" spans="1:10" s="20" customFormat="1" x14ac:dyDescent="0.25">
      <c r="A88" s="14">
        <v>46086</v>
      </c>
      <c r="B88" s="20" t="s">
        <v>553</v>
      </c>
      <c r="C88" s="6" t="s">
        <v>119</v>
      </c>
      <c r="D88" s="20" t="s">
        <v>367</v>
      </c>
      <c r="E88" s="20" t="s">
        <v>53</v>
      </c>
      <c r="F88" s="6">
        <v>1</v>
      </c>
      <c r="G88" s="6"/>
      <c r="H88" s="6"/>
      <c r="I88" s="22"/>
      <c r="J88" s="28" t="s">
        <v>325</v>
      </c>
    </row>
    <row r="89" spans="1:10" s="20" customFormat="1" x14ac:dyDescent="0.25">
      <c r="A89" s="14">
        <v>46086</v>
      </c>
      <c r="B89" s="20" t="s">
        <v>551</v>
      </c>
      <c r="C89" s="6" t="s">
        <v>110</v>
      </c>
      <c r="D89" s="20" t="s">
        <v>376</v>
      </c>
      <c r="E89" s="20" t="s">
        <v>53</v>
      </c>
      <c r="F89" s="6">
        <v>1</v>
      </c>
      <c r="G89" s="6"/>
      <c r="H89" s="6"/>
      <c r="I89" s="22"/>
      <c r="J89" s="28" t="s">
        <v>325</v>
      </c>
    </row>
    <row r="90" spans="1:10" s="20" customFormat="1" x14ac:dyDescent="0.25">
      <c r="A90" s="14">
        <v>46086</v>
      </c>
      <c r="B90" s="20" t="s">
        <v>556</v>
      </c>
      <c r="C90" s="6" t="s">
        <v>109</v>
      </c>
      <c r="D90" s="20" t="s">
        <v>377</v>
      </c>
      <c r="E90" s="20" t="s">
        <v>53</v>
      </c>
      <c r="F90" s="6">
        <v>1</v>
      </c>
      <c r="G90" s="6"/>
      <c r="H90" s="6"/>
      <c r="I90" s="22"/>
      <c r="J90" s="28" t="s">
        <v>325</v>
      </c>
    </row>
    <row r="91" spans="1:10" s="20" customFormat="1" x14ac:dyDescent="0.25">
      <c r="A91" s="14">
        <v>46086</v>
      </c>
      <c r="B91" s="20" t="s">
        <v>360</v>
      </c>
      <c r="C91" s="6" t="s">
        <v>91</v>
      </c>
      <c r="D91" s="20" t="s">
        <v>396</v>
      </c>
      <c r="E91" s="20" t="s">
        <v>53</v>
      </c>
      <c r="F91" s="6">
        <v>1</v>
      </c>
      <c r="G91" s="6"/>
      <c r="H91" s="6"/>
      <c r="I91" s="22"/>
      <c r="J91" s="28" t="s">
        <v>325</v>
      </c>
    </row>
    <row r="92" spans="1:10" s="20" customFormat="1" x14ac:dyDescent="0.25">
      <c r="A92" s="14">
        <v>46086</v>
      </c>
      <c r="B92" s="20" t="s">
        <v>360</v>
      </c>
      <c r="C92" s="6" t="s">
        <v>108</v>
      </c>
      <c r="D92" s="20" t="s">
        <v>378</v>
      </c>
      <c r="E92" s="20" t="s">
        <v>53</v>
      </c>
      <c r="F92" s="6">
        <v>1</v>
      </c>
      <c r="G92" s="6"/>
      <c r="H92" s="6"/>
      <c r="I92" s="22"/>
      <c r="J92" s="28" t="s">
        <v>325</v>
      </c>
    </row>
    <row r="93" spans="1:10" s="20" customFormat="1" x14ac:dyDescent="0.25">
      <c r="A93" s="14">
        <v>46086</v>
      </c>
      <c r="B93" s="20" t="s">
        <v>554</v>
      </c>
      <c r="C93" s="6" t="s">
        <v>156</v>
      </c>
      <c r="D93" s="20" t="s">
        <v>432</v>
      </c>
      <c r="E93" s="20" t="s">
        <v>52</v>
      </c>
      <c r="F93" s="6">
        <v>1</v>
      </c>
      <c r="G93" s="6"/>
      <c r="H93" s="6"/>
      <c r="I93" s="22"/>
      <c r="J93" s="28" t="s">
        <v>325</v>
      </c>
    </row>
    <row r="94" spans="1:10" s="20" customFormat="1" x14ac:dyDescent="0.25">
      <c r="A94" s="14">
        <v>46086</v>
      </c>
      <c r="B94" s="20" t="s">
        <v>554</v>
      </c>
      <c r="C94" s="6" t="s">
        <v>157</v>
      </c>
      <c r="D94" s="20" t="s">
        <v>433</v>
      </c>
      <c r="E94" s="20" t="s">
        <v>52</v>
      </c>
      <c r="F94" s="6">
        <v>1</v>
      </c>
      <c r="G94" s="6"/>
      <c r="H94" s="6"/>
      <c r="I94" s="22"/>
      <c r="J94" s="28" t="s">
        <v>325</v>
      </c>
    </row>
    <row r="95" spans="1:10" s="20" customFormat="1" x14ac:dyDescent="0.25">
      <c r="A95" s="14">
        <v>46086</v>
      </c>
      <c r="B95" s="20" t="s">
        <v>554</v>
      </c>
      <c r="C95" s="6" t="s">
        <v>180</v>
      </c>
      <c r="D95" s="20" t="s">
        <v>456</v>
      </c>
      <c r="E95" s="20" t="s">
        <v>52</v>
      </c>
      <c r="F95" s="6">
        <v>1</v>
      </c>
      <c r="G95" s="6"/>
      <c r="H95" s="6"/>
      <c r="I95" s="22"/>
      <c r="J95" s="28" t="s">
        <v>325</v>
      </c>
    </row>
    <row r="96" spans="1:10" s="20" customFormat="1" x14ac:dyDescent="0.25">
      <c r="A96" s="14">
        <v>46086</v>
      </c>
      <c r="B96" s="93" t="s">
        <v>561</v>
      </c>
      <c r="C96" s="7" t="s">
        <v>178</v>
      </c>
      <c r="D96" s="93" t="s">
        <v>454</v>
      </c>
      <c r="E96" s="93" t="s">
        <v>52</v>
      </c>
      <c r="F96" s="7">
        <v>1</v>
      </c>
      <c r="G96" s="7"/>
      <c r="H96" s="7"/>
      <c r="I96" s="24"/>
      <c r="J96" s="29"/>
    </row>
    <row r="97" spans="1:10" s="20" customFormat="1" x14ac:dyDescent="0.25">
      <c r="A97" s="14">
        <v>46086</v>
      </c>
      <c r="B97" s="93" t="s">
        <v>557</v>
      </c>
      <c r="C97" s="7" t="s">
        <v>152</v>
      </c>
      <c r="D97" s="93" t="s">
        <v>428</v>
      </c>
      <c r="E97" s="93" t="s">
        <v>52</v>
      </c>
      <c r="F97" s="7">
        <v>1</v>
      </c>
      <c r="G97" s="7"/>
      <c r="H97" s="7"/>
      <c r="I97" s="24"/>
      <c r="J97" s="29"/>
    </row>
    <row r="98" spans="1:10" s="20" customFormat="1" x14ac:dyDescent="0.25">
      <c r="A98" s="14">
        <v>46086</v>
      </c>
      <c r="B98" s="93" t="s">
        <v>557</v>
      </c>
      <c r="C98" s="7" t="s">
        <v>140</v>
      </c>
      <c r="D98" s="93" t="s">
        <v>419</v>
      </c>
      <c r="E98" s="93" t="s">
        <v>52</v>
      </c>
      <c r="F98" s="7">
        <v>1</v>
      </c>
      <c r="G98" s="7"/>
      <c r="H98" s="7"/>
      <c r="I98" s="24"/>
      <c r="J98" s="29"/>
    </row>
    <row r="99" spans="1:10" s="20" customFormat="1" x14ac:dyDescent="0.25">
      <c r="A99" s="14">
        <v>46086</v>
      </c>
      <c r="B99" s="93" t="s">
        <v>557</v>
      </c>
      <c r="C99" s="7" t="s">
        <v>178</v>
      </c>
      <c r="D99" s="93" t="s">
        <v>454</v>
      </c>
      <c r="E99" s="93" t="s">
        <v>52</v>
      </c>
      <c r="F99" s="7">
        <v>1</v>
      </c>
      <c r="G99" s="7"/>
      <c r="H99" s="7"/>
      <c r="I99" s="24"/>
      <c r="J99" s="29"/>
    </row>
    <row r="100" spans="1:10" s="20" customFormat="1" x14ac:dyDescent="0.25">
      <c r="A100" s="14">
        <v>46086</v>
      </c>
      <c r="B100" s="93" t="s">
        <v>557</v>
      </c>
      <c r="C100" s="7" t="s">
        <v>169</v>
      </c>
      <c r="D100" s="93" t="s">
        <v>445</v>
      </c>
      <c r="E100" s="93" t="s">
        <v>52</v>
      </c>
      <c r="F100" s="7">
        <v>1</v>
      </c>
      <c r="G100" s="7"/>
      <c r="H100" s="7"/>
      <c r="I100" s="24"/>
      <c r="J100" s="29"/>
    </row>
    <row r="101" spans="1:10" s="20" customFormat="1" x14ac:dyDescent="0.25">
      <c r="A101" s="14">
        <v>46086</v>
      </c>
      <c r="B101" s="20" t="s">
        <v>553</v>
      </c>
      <c r="C101" s="6" t="s">
        <v>125</v>
      </c>
      <c r="D101" s="20" t="s">
        <v>405</v>
      </c>
      <c r="E101" s="20" t="s">
        <v>52</v>
      </c>
      <c r="F101" s="6">
        <v>1</v>
      </c>
      <c r="G101" s="6"/>
      <c r="H101" s="6"/>
      <c r="I101" s="22"/>
      <c r="J101" s="28" t="s">
        <v>325</v>
      </c>
    </row>
    <row r="102" spans="1:10" s="20" customFormat="1" x14ac:dyDescent="0.25">
      <c r="A102" s="14">
        <v>46086</v>
      </c>
      <c r="B102" s="20" t="s">
        <v>553</v>
      </c>
      <c r="C102" s="6" t="s">
        <v>152</v>
      </c>
      <c r="D102" s="20" t="s">
        <v>428</v>
      </c>
      <c r="E102" s="20" t="s">
        <v>52</v>
      </c>
      <c r="F102" s="6">
        <v>1</v>
      </c>
      <c r="G102" s="6"/>
      <c r="H102" s="6"/>
      <c r="I102" s="22"/>
      <c r="J102" s="28" t="s">
        <v>325</v>
      </c>
    </row>
    <row r="103" spans="1:10" s="20" customFormat="1" x14ac:dyDescent="0.25">
      <c r="A103" s="14">
        <v>46086</v>
      </c>
      <c r="B103" s="20" t="s">
        <v>553</v>
      </c>
      <c r="C103" s="6" t="s">
        <v>147</v>
      </c>
      <c r="D103" s="20" t="s">
        <v>423</v>
      </c>
      <c r="E103" s="20" t="s">
        <v>52</v>
      </c>
      <c r="F103" s="6">
        <v>1</v>
      </c>
      <c r="G103" s="6"/>
      <c r="H103" s="6"/>
      <c r="I103" s="22"/>
      <c r="J103" s="28" t="s">
        <v>325</v>
      </c>
    </row>
    <row r="104" spans="1:10" s="20" customFormat="1" x14ac:dyDescent="0.25">
      <c r="A104" s="14">
        <v>46086</v>
      </c>
      <c r="B104" s="20" t="s">
        <v>553</v>
      </c>
      <c r="C104" s="6" t="s">
        <v>164</v>
      </c>
      <c r="D104" s="20" t="s">
        <v>440</v>
      </c>
      <c r="E104" s="20" t="s">
        <v>52</v>
      </c>
      <c r="F104" s="6">
        <v>1</v>
      </c>
      <c r="G104" s="6"/>
      <c r="H104" s="6"/>
      <c r="I104" s="22"/>
      <c r="J104" s="28" t="s">
        <v>325</v>
      </c>
    </row>
    <row r="105" spans="1:10" s="20" customFormat="1" x14ac:dyDescent="0.25">
      <c r="A105" s="14">
        <v>46086</v>
      </c>
      <c r="B105" s="20" t="s">
        <v>553</v>
      </c>
      <c r="C105" s="6" t="s">
        <v>136</v>
      </c>
      <c r="D105" s="20" t="s">
        <v>416</v>
      </c>
      <c r="E105" s="20" t="s">
        <v>52</v>
      </c>
      <c r="F105" s="6">
        <v>1</v>
      </c>
      <c r="G105" s="6"/>
      <c r="H105" s="6"/>
      <c r="I105" s="22"/>
      <c r="J105" s="28" t="s">
        <v>325</v>
      </c>
    </row>
    <row r="106" spans="1:10" s="20" customFormat="1" x14ac:dyDescent="0.25">
      <c r="A106" s="14">
        <v>46086</v>
      </c>
      <c r="B106" s="20" t="s">
        <v>553</v>
      </c>
      <c r="C106" s="6" t="s">
        <v>180</v>
      </c>
      <c r="D106" s="20" t="s">
        <v>456</v>
      </c>
      <c r="E106" s="20" t="s">
        <v>52</v>
      </c>
      <c r="F106" s="6">
        <v>1</v>
      </c>
      <c r="G106" s="6"/>
      <c r="H106" s="6"/>
      <c r="I106" s="22"/>
      <c r="J106" s="28" t="s">
        <v>325</v>
      </c>
    </row>
    <row r="107" spans="1:10" s="20" customFormat="1" x14ac:dyDescent="0.25">
      <c r="A107" s="14">
        <v>46086</v>
      </c>
      <c r="B107" s="20" t="s">
        <v>553</v>
      </c>
      <c r="C107" s="6" t="s">
        <v>173</v>
      </c>
      <c r="D107" s="20" t="s">
        <v>449</v>
      </c>
      <c r="E107" s="20" t="s">
        <v>52</v>
      </c>
      <c r="F107" s="6">
        <v>1</v>
      </c>
      <c r="G107" s="6"/>
      <c r="H107" s="6"/>
      <c r="I107" s="22"/>
      <c r="J107" s="28" t="s">
        <v>325</v>
      </c>
    </row>
    <row r="108" spans="1:10" s="20" customFormat="1" x14ac:dyDescent="0.25">
      <c r="A108" s="14">
        <v>46086</v>
      </c>
      <c r="B108" s="20" t="s">
        <v>551</v>
      </c>
      <c r="C108" s="6" t="s">
        <v>178</v>
      </c>
      <c r="D108" s="20" t="s">
        <v>454</v>
      </c>
      <c r="E108" s="20" t="s">
        <v>52</v>
      </c>
      <c r="F108" s="6">
        <v>2</v>
      </c>
      <c r="G108" s="6"/>
      <c r="H108" s="6"/>
      <c r="I108" s="22"/>
      <c r="J108" s="28" t="s">
        <v>325</v>
      </c>
    </row>
    <row r="109" spans="1:10" s="20" customFormat="1" x14ac:dyDescent="0.25">
      <c r="A109" s="14">
        <v>46086</v>
      </c>
      <c r="B109" s="20" t="s">
        <v>551</v>
      </c>
      <c r="C109" s="6" t="s">
        <v>170</v>
      </c>
      <c r="D109" s="20" t="s">
        <v>446</v>
      </c>
      <c r="E109" s="20" t="s">
        <v>52</v>
      </c>
      <c r="F109" s="6">
        <v>2</v>
      </c>
      <c r="G109" s="6"/>
      <c r="H109" s="6"/>
      <c r="I109" s="22"/>
      <c r="J109" s="28" t="s">
        <v>325</v>
      </c>
    </row>
    <row r="110" spans="1:10" s="20" customFormat="1" x14ac:dyDescent="0.25">
      <c r="A110" s="14">
        <v>46086</v>
      </c>
      <c r="B110" s="20" t="s">
        <v>551</v>
      </c>
      <c r="C110" s="6" t="s">
        <v>173</v>
      </c>
      <c r="D110" s="20" t="s">
        <v>449</v>
      </c>
      <c r="E110" s="20" t="s">
        <v>52</v>
      </c>
      <c r="F110" s="6">
        <v>2</v>
      </c>
      <c r="G110" s="6"/>
      <c r="H110" s="6"/>
      <c r="I110" s="22"/>
      <c r="J110" s="28" t="s">
        <v>325</v>
      </c>
    </row>
    <row r="111" spans="1:10" s="20" customFormat="1" x14ac:dyDescent="0.25">
      <c r="A111" s="14">
        <v>46086</v>
      </c>
      <c r="B111" s="20" t="s">
        <v>556</v>
      </c>
      <c r="C111" s="6" t="s">
        <v>154</v>
      </c>
      <c r="D111" s="20" t="s">
        <v>430</v>
      </c>
      <c r="E111" s="20" t="s">
        <v>52</v>
      </c>
      <c r="F111" s="6">
        <v>1</v>
      </c>
      <c r="G111" s="6"/>
      <c r="H111" s="6"/>
      <c r="I111" s="22"/>
      <c r="J111" s="28" t="s">
        <v>325</v>
      </c>
    </row>
    <row r="112" spans="1:10" s="20" customFormat="1" x14ac:dyDescent="0.25">
      <c r="A112" s="14">
        <v>46086</v>
      </c>
      <c r="B112" s="20" t="s">
        <v>556</v>
      </c>
      <c r="C112" s="6" t="s">
        <v>134</v>
      </c>
      <c r="D112" s="20" t="s">
        <v>414</v>
      </c>
      <c r="E112" s="20" t="s">
        <v>52</v>
      </c>
      <c r="F112" s="6">
        <v>1</v>
      </c>
      <c r="G112" s="6"/>
      <c r="H112" s="6"/>
      <c r="I112" s="22"/>
      <c r="J112" s="28" t="s">
        <v>325</v>
      </c>
    </row>
    <row r="113" spans="1:10" s="20" customFormat="1" x14ac:dyDescent="0.25">
      <c r="A113" s="14">
        <v>46086</v>
      </c>
      <c r="B113" s="20" t="s">
        <v>360</v>
      </c>
      <c r="C113" s="6" t="s">
        <v>169</v>
      </c>
      <c r="D113" s="20" t="s">
        <v>445</v>
      </c>
      <c r="E113" s="20" t="s">
        <v>52</v>
      </c>
      <c r="F113" s="6">
        <v>1</v>
      </c>
      <c r="G113" s="6"/>
      <c r="H113" s="6"/>
      <c r="I113" s="22"/>
      <c r="J113" s="28" t="s">
        <v>325</v>
      </c>
    </row>
    <row r="114" spans="1:10" s="20" customFormat="1" x14ac:dyDescent="0.25">
      <c r="A114" s="14">
        <v>46086</v>
      </c>
      <c r="B114" s="93" t="s">
        <v>528</v>
      </c>
      <c r="C114" s="7" t="s">
        <v>56</v>
      </c>
      <c r="D114" s="93" t="s">
        <v>10</v>
      </c>
      <c r="E114" s="93" t="s">
        <v>13</v>
      </c>
      <c r="F114" s="7">
        <v>1</v>
      </c>
      <c r="G114" s="7"/>
      <c r="H114" s="7"/>
      <c r="I114" s="24"/>
      <c r="J114" s="29"/>
    </row>
    <row r="115" spans="1:10" s="20" customFormat="1" x14ac:dyDescent="0.25">
      <c r="A115" s="14">
        <v>46086</v>
      </c>
      <c r="B115" s="20" t="s">
        <v>558</v>
      </c>
      <c r="C115" s="6" t="s">
        <v>248</v>
      </c>
      <c r="D115" s="20" t="s">
        <v>38</v>
      </c>
      <c r="E115" s="20" t="s">
        <v>50</v>
      </c>
      <c r="F115" s="6">
        <v>1</v>
      </c>
      <c r="G115" s="6"/>
      <c r="H115" s="6"/>
      <c r="I115" s="22"/>
      <c r="J115" s="28" t="s">
        <v>325</v>
      </c>
    </row>
    <row r="116" spans="1:10" s="20" customFormat="1" x14ac:dyDescent="0.25">
      <c r="A116" s="14">
        <v>46086</v>
      </c>
      <c r="B116" s="20" t="s">
        <v>552</v>
      </c>
      <c r="C116" s="6" t="s">
        <v>248</v>
      </c>
      <c r="D116" s="20" t="s">
        <v>38</v>
      </c>
      <c r="E116" s="20" t="s">
        <v>50</v>
      </c>
      <c r="F116" s="6">
        <v>1</v>
      </c>
      <c r="G116" s="6"/>
      <c r="H116" s="6"/>
      <c r="I116" s="22"/>
      <c r="J116" s="28" t="s">
        <v>325</v>
      </c>
    </row>
    <row r="117" spans="1:10" s="20" customFormat="1" x14ac:dyDescent="0.25">
      <c r="A117" s="14">
        <v>46086</v>
      </c>
      <c r="B117" s="20" t="s">
        <v>551</v>
      </c>
      <c r="C117" s="6" t="s">
        <v>259</v>
      </c>
      <c r="D117" s="20" t="s">
        <v>49</v>
      </c>
      <c r="E117" s="20" t="s">
        <v>50</v>
      </c>
      <c r="F117" s="6">
        <v>2</v>
      </c>
      <c r="G117" s="6"/>
      <c r="H117" s="6"/>
      <c r="I117" s="22"/>
      <c r="J117" s="28" t="s">
        <v>325</v>
      </c>
    </row>
    <row r="118" spans="1:10" s="20" customFormat="1" x14ac:dyDescent="0.25">
      <c r="A118" s="14">
        <v>46087</v>
      </c>
      <c r="B118" s="20" t="s">
        <v>547</v>
      </c>
      <c r="C118" s="6" t="s">
        <v>191</v>
      </c>
      <c r="D118" s="20" t="s">
        <v>473</v>
      </c>
      <c r="E118" s="20" t="s">
        <v>51</v>
      </c>
      <c r="F118" s="6">
        <v>1</v>
      </c>
      <c r="G118" s="6"/>
      <c r="H118" s="6"/>
      <c r="I118" s="22"/>
      <c r="J118" s="28" t="s">
        <v>325</v>
      </c>
    </row>
    <row r="119" spans="1:10" s="20" customFormat="1" x14ac:dyDescent="0.25">
      <c r="A119" s="14">
        <v>46087</v>
      </c>
      <c r="B119" s="20" t="s">
        <v>550</v>
      </c>
      <c r="C119" s="6" t="s">
        <v>217</v>
      </c>
      <c r="D119" s="20" t="s">
        <v>499</v>
      </c>
      <c r="E119" s="20" t="s">
        <v>51</v>
      </c>
      <c r="F119" s="6">
        <v>1</v>
      </c>
      <c r="G119" s="6"/>
      <c r="H119" s="6"/>
      <c r="I119" s="22"/>
      <c r="J119" s="28" t="s">
        <v>325</v>
      </c>
    </row>
    <row r="120" spans="1:10" s="20" customFormat="1" x14ac:dyDescent="0.25">
      <c r="A120" s="14">
        <v>46087</v>
      </c>
      <c r="B120" s="20" t="s">
        <v>562</v>
      </c>
      <c r="C120" s="6" t="s">
        <v>221</v>
      </c>
      <c r="D120" s="20" t="s">
        <v>503</v>
      </c>
      <c r="E120" s="20" t="s">
        <v>51</v>
      </c>
      <c r="F120" s="6">
        <v>1</v>
      </c>
      <c r="G120" s="6"/>
      <c r="H120" s="6"/>
      <c r="I120" s="22"/>
      <c r="J120" s="28" t="s">
        <v>325</v>
      </c>
    </row>
    <row r="121" spans="1:10" s="20" customFormat="1" x14ac:dyDescent="0.25">
      <c r="A121" s="14">
        <v>46087</v>
      </c>
      <c r="B121" s="20" t="s">
        <v>562</v>
      </c>
      <c r="C121" s="6" t="s">
        <v>237</v>
      </c>
      <c r="D121" s="20" t="s">
        <v>519</v>
      </c>
      <c r="E121" s="20" t="s">
        <v>51</v>
      </c>
      <c r="F121" s="6">
        <v>1</v>
      </c>
      <c r="G121" s="6"/>
      <c r="H121" s="6"/>
      <c r="I121" s="22"/>
      <c r="J121" s="28" t="s">
        <v>325</v>
      </c>
    </row>
    <row r="122" spans="1:10" s="20" customFormat="1" x14ac:dyDescent="0.25">
      <c r="A122" s="14">
        <v>46087</v>
      </c>
      <c r="B122" s="20" t="s">
        <v>559</v>
      </c>
      <c r="C122" s="6" t="s">
        <v>109</v>
      </c>
      <c r="D122" s="20" t="s">
        <v>377</v>
      </c>
      <c r="E122" s="20" t="s">
        <v>53</v>
      </c>
      <c r="F122" s="6">
        <v>1</v>
      </c>
      <c r="G122" s="6"/>
      <c r="H122" s="6"/>
      <c r="I122" s="22"/>
      <c r="J122" s="28" t="s">
        <v>325</v>
      </c>
    </row>
    <row r="123" spans="1:10" s="20" customFormat="1" x14ac:dyDescent="0.25">
      <c r="A123" s="14">
        <v>46087</v>
      </c>
      <c r="B123" s="20" t="s">
        <v>559</v>
      </c>
      <c r="C123" s="6" t="s">
        <v>321</v>
      </c>
      <c r="D123" s="20" t="s">
        <v>364</v>
      </c>
      <c r="E123" s="20" t="s">
        <v>53</v>
      </c>
      <c r="F123" s="6">
        <v>1</v>
      </c>
      <c r="G123" s="6"/>
      <c r="H123" s="6"/>
      <c r="I123" s="22"/>
      <c r="J123" s="28" t="s">
        <v>325</v>
      </c>
    </row>
    <row r="124" spans="1:10" s="20" customFormat="1" x14ac:dyDescent="0.25">
      <c r="A124" s="14">
        <v>46087</v>
      </c>
      <c r="B124" s="20" t="s">
        <v>559</v>
      </c>
      <c r="C124" s="6" t="s">
        <v>115</v>
      </c>
      <c r="D124" s="20" t="s">
        <v>371</v>
      </c>
      <c r="E124" s="37" t="s">
        <v>53</v>
      </c>
      <c r="F124" s="6">
        <v>1</v>
      </c>
      <c r="G124" s="6"/>
      <c r="H124" s="6"/>
      <c r="I124" s="22"/>
      <c r="J124" s="28" t="s">
        <v>325</v>
      </c>
    </row>
    <row r="125" spans="1:10" s="20" customFormat="1" x14ac:dyDescent="0.25">
      <c r="A125" s="14">
        <v>46087</v>
      </c>
      <c r="B125" s="20" t="s">
        <v>559</v>
      </c>
      <c r="C125" s="6" t="s">
        <v>110</v>
      </c>
      <c r="D125" s="20" t="s">
        <v>376</v>
      </c>
      <c r="E125" s="37" t="s">
        <v>53</v>
      </c>
      <c r="F125" s="6">
        <v>1</v>
      </c>
      <c r="G125" s="6"/>
      <c r="H125" s="6"/>
      <c r="I125" s="22"/>
      <c r="J125" s="28" t="s">
        <v>325</v>
      </c>
    </row>
    <row r="126" spans="1:10" s="20" customFormat="1" x14ac:dyDescent="0.25">
      <c r="A126" s="14">
        <v>46087</v>
      </c>
      <c r="B126" s="20" t="s">
        <v>559</v>
      </c>
      <c r="C126" s="6" t="s">
        <v>322</v>
      </c>
      <c r="D126" s="20" t="s">
        <v>363</v>
      </c>
      <c r="E126" s="20" t="s">
        <v>53</v>
      </c>
      <c r="F126" s="6">
        <v>1</v>
      </c>
      <c r="G126" s="6"/>
      <c r="H126" s="6"/>
      <c r="I126" s="22"/>
      <c r="J126" s="28" t="s">
        <v>325</v>
      </c>
    </row>
    <row r="127" spans="1:10" s="20" customFormat="1" x14ac:dyDescent="0.25">
      <c r="A127" s="14">
        <v>46087</v>
      </c>
      <c r="B127" s="93" t="s">
        <v>563</v>
      </c>
      <c r="C127" s="7" t="s">
        <v>151</v>
      </c>
      <c r="D127" s="93" t="s">
        <v>427</v>
      </c>
      <c r="E127" s="93" t="s">
        <v>52</v>
      </c>
      <c r="F127" s="7">
        <v>1</v>
      </c>
      <c r="G127" s="7"/>
      <c r="H127" s="7"/>
      <c r="I127" s="24"/>
      <c r="J127" s="29"/>
    </row>
    <row r="128" spans="1:10" s="20" customFormat="1" x14ac:dyDescent="0.25">
      <c r="A128" s="14">
        <v>46087</v>
      </c>
      <c r="B128" s="20" t="s">
        <v>546</v>
      </c>
      <c r="C128" s="6" t="s">
        <v>154</v>
      </c>
      <c r="D128" s="20" t="s">
        <v>430</v>
      </c>
      <c r="E128" s="20" t="s">
        <v>52</v>
      </c>
      <c r="F128" s="6">
        <v>1</v>
      </c>
      <c r="G128" s="6"/>
      <c r="H128" s="6"/>
      <c r="I128" s="22"/>
      <c r="J128" s="28" t="s">
        <v>325</v>
      </c>
    </row>
    <row r="129" spans="1:10" s="20" customFormat="1" x14ac:dyDescent="0.25">
      <c r="A129" s="14">
        <v>46087</v>
      </c>
      <c r="B129" s="20" t="s">
        <v>546</v>
      </c>
      <c r="C129" s="6" t="s">
        <v>135</v>
      </c>
      <c r="D129" s="20" t="s">
        <v>415</v>
      </c>
      <c r="E129" s="20" t="s">
        <v>52</v>
      </c>
      <c r="F129" s="6">
        <v>2</v>
      </c>
      <c r="G129" s="6"/>
      <c r="H129" s="6"/>
      <c r="I129" s="22"/>
      <c r="J129" s="28" t="s">
        <v>325</v>
      </c>
    </row>
    <row r="130" spans="1:10" s="20" customFormat="1" x14ac:dyDescent="0.25">
      <c r="A130" s="14">
        <v>46087</v>
      </c>
      <c r="B130" s="20" t="s">
        <v>559</v>
      </c>
      <c r="C130" s="6" t="s">
        <v>125</v>
      </c>
      <c r="D130" s="20" t="s">
        <v>405</v>
      </c>
      <c r="E130" s="20" t="s">
        <v>52</v>
      </c>
      <c r="F130" s="6">
        <v>1</v>
      </c>
      <c r="G130" s="6"/>
      <c r="H130" s="6"/>
      <c r="I130" s="22"/>
      <c r="J130" s="28" t="s">
        <v>325</v>
      </c>
    </row>
    <row r="131" spans="1:10" s="20" customFormat="1" x14ac:dyDescent="0.25">
      <c r="A131" s="14">
        <v>46087</v>
      </c>
      <c r="B131" s="20" t="s">
        <v>559</v>
      </c>
      <c r="C131" s="6" t="s">
        <v>155</v>
      </c>
      <c r="D131" s="20" t="s">
        <v>431</v>
      </c>
      <c r="E131" s="20" t="s">
        <v>52</v>
      </c>
      <c r="F131" s="6">
        <v>3</v>
      </c>
      <c r="G131" s="6"/>
      <c r="H131" s="6"/>
      <c r="I131" s="22"/>
      <c r="J131" s="28" t="s">
        <v>325</v>
      </c>
    </row>
    <row r="132" spans="1:10" s="20" customFormat="1" x14ac:dyDescent="0.25">
      <c r="A132" s="14">
        <v>46087</v>
      </c>
      <c r="B132" s="20" t="s">
        <v>559</v>
      </c>
      <c r="C132" s="6" t="s">
        <v>127</v>
      </c>
      <c r="D132" s="20" t="s">
        <v>407</v>
      </c>
      <c r="E132" s="20" t="s">
        <v>52</v>
      </c>
      <c r="F132" s="6">
        <v>1</v>
      </c>
      <c r="G132" s="6"/>
      <c r="H132" s="6"/>
      <c r="I132" s="22"/>
      <c r="J132" s="28" t="s">
        <v>325</v>
      </c>
    </row>
    <row r="133" spans="1:10" s="20" customFormat="1" x14ac:dyDescent="0.25">
      <c r="A133" s="14">
        <v>46087</v>
      </c>
      <c r="B133" s="20" t="s">
        <v>559</v>
      </c>
      <c r="C133" s="6" t="s">
        <v>176</v>
      </c>
      <c r="D133" s="20" t="s">
        <v>452</v>
      </c>
      <c r="E133" s="20" t="s">
        <v>52</v>
      </c>
      <c r="F133" s="6">
        <v>1</v>
      </c>
      <c r="G133" s="6"/>
      <c r="H133" s="6"/>
      <c r="I133" s="22"/>
      <c r="J133" s="28" t="s">
        <v>325</v>
      </c>
    </row>
    <row r="134" spans="1:10" s="20" customFormat="1" x14ac:dyDescent="0.25">
      <c r="A134" s="14">
        <v>46087</v>
      </c>
      <c r="B134" s="20" t="s">
        <v>559</v>
      </c>
      <c r="C134" s="6" t="s">
        <v>312</v>
      </c>
      <c r="D134" s="20" t="s">
        <v>459</v>
      </c>
      <c r="E134" s="20" t="s">
        <v>52</v>
      </c>
      <c r="F134" s="6">
        <v>1</v>
      </c>
      <c r="G134" s="6"/>
      <c r="H134" s="6"/>
      <c r="I134" s="22"/>
      <c r="J134" s="28" t="s">
        <v>325</v>
      </c>
    </row>
    <row r="135" spans="1:10" s="20" customFormat="1" x14ac:dyDescent="0.25">
      <c r="A135" s="14">
        <v>46087</v>
      </c>
      <c r="B135" s="20" t="s">
        <v>559</v>
      </c>
      <c r="C135" s="6" t="s">
        <v>133</v>
      </c>
      <c r="D135" s="20" t="s">
        <v>413</v>
      </c>
      <c r="E135" s="20" t="s">
        <v>52</v>
      </c>
      <c r="F135" s="6">
        <v>1</v>
      </c>
      <c r="G135" s="6"/>
      <c r="H135" s="6"/>
      <c r="I135" s="22"/>
      <c r="J135" s="28" t="s">
        <v>325</v>
      </c>
    </row>
    <row r="136" spans="1:10" s="20" customFormat="1" x14ac:dyDescent="0.25">
      <c r="A136" s="14">
        <v>46087</v>
      </c>
      <c r="B136" s="20" t="s">
        <v>559</v>
      </c>
      <c r="C136" s="6" t="s">
        <v>135</v>
      </c>
      <c r="D136" s="20" t="s">
        <v>415</v>
      </c>
      <c r="E136" s="20" t="s">
        <v>52</v>
      </c>
      <c r="F136" s="6">
        <v>2</v>
      </c>
      <c r="G136" s="6"/>
      <c r="H136" s="6"/>
      <c r="I136" s="22"/>
      <c r="J136" s="28" t="s">
        <v>325</v>
      </c>
    </row>
    <row r="137" spans="1:10" s="20" customFormat="1" x14ac:dyDescent="0.25">
      <c r="A137" s="14">
        <v>46087</v>
      </c>
      <c r="B137" s="20" t="s">
        <v>559</v>
      </c>
      <c r="C137" s="72" t="s">
        <v>137</v>
      </c>
      <c r="D137" s="20" t="s">
        <v>417</v>
      </c>
      <c r="E137" s="94" t="s">
        <v>52</v>
      </c>
      <c r="F137" s="6">
        <v>2</v>
      </c>
      <c r="G137" s="6"/>
      <c r="H137" s="6"/>
      <c r="I137" s="22"/>
      <c r="J137" s="28" t="s">
        <v>325</v>
      </c>
    </row>
    <row r="138" spans="1:10" s="20" customFormat="1" x14ac:dyDescent="0.25">
      <c r="A138" s="14">
        <v>46087</v>
      </c>
      <c r="B138" s="20" t="s">
        <v>559</v>
      </c>
      <c r="C138" s="6" t="s">
        <v>173</v>
      </c>
      <c r="D138" s="20" t="s">
        <v>449</v>
      </c>
      <c r="E138" s="20" t="s">
        <v>52</v>
      </c>
      <c r="F138" s="6">
        <v>3</v>
      </c>
      <c r="G138" s="6"/>
      <c r="H138" s="6"/>
      <c r="I138" s="22"/>
      <c r="J138" s="28" t="s">
        <v>325</v>
      </c>
    </row>
    <row r="139" spans="1:10" s="20" customFormat="1" x14ac:dyDescent="0.25">
      <c r="A139" s="14">
        <v>46087</v>
      </c>
      <c r="B139" s="20" t="s">
        <v>559</v>
      </c>
      <c r="C139" s="6" t="s">
        <v>174</v>
      </c>
      <c r="D139" s="20" t="s">
        <v>450</v>
      </c>
      <c r="E139" s="20" t="s">
        <v>52</v>
      </c>
      <c r="F139" s="6">
        <v>1</v>
      </c>
      <c r="G139" s="6"/>
      <c r="H139" s="6"/>
      <c r="I139" s="22"/>
      <c r="J139" s="28" t="s">
        <v>325</v>
      </c>
    </row>
    <row r="140" spans="1:10" s="20" customFormat="1" x14ac:dyDescent="0.25">
      <c r="A140" s="14">
        <v>46087</v>
      </c>
      <c r="B140" s="20" t="s">
        <v>559</v>
      </c>
      <c r="C140" s="6" t="s">
        <v>313</v>
      </c>
      <c r="D140" s="20" t="s">
        <v>460</v>
      </c>
      <c r="E140" s="20" t="s">
        <v>52</v>
      </c>
      <c r="F140" s="6">
        <v>1</v>
      </c>
      <c r="G140" s="6"/>
      <c r="H140" s="6"/>
      <c r="I140" s="22"/>
      <c r="J140" s="28" t="s">
        <v>325</v>
      </c>
    </row>
    <row r="141" spans="1:10" s="20" customFormat="1" x14ac:dyDescent="0.25">
      <c r="A141" s="14">
        <v>46087</v>
      </c>
      <c r="B141" s="20" t="s">
        <v>559</v>
      </c>
      <c r="C141" s="6" t="s">
        <v>178</v>
      </c>
      <c r="D141" s="20" t="s">
        <v>454</v>
      </c>
      <c r="E141" s="20" t="s">
        <v>52</v>
      </c>
      <c r="F141" s="6">
        <v>1</v>
      </c>
      <c r="G141" s="6"/>
      <c r="H141" s="6"/>
      <c r="I141" s="22"/>
      <c r="J141" s="28" t="s">
        <v>325</v>
      </c>
    </row>
    <row r="142" spans="1:10" s="20" customFormat="1" x14ac:dyDescent="0.25">
      <c r="A142" s="14">
        <v>46087</v>
      </c>
      <c r="B142" s="20" t="s">
        <v>559</v>
      </c>
      <c r="C142" s="6" t="s">
        <v>169</v>
      </c>
      <c r="D142" s="20" t="s">
        <v>445</v>
      </c>
      <c r="E142" s="20" t="s">
        <v>52</v>
      </c>
      <c r="F142" s="6">
        <v>1</v>
      </c>
      <c r="G142" s="6"/>
      <c r="H142" s="6"/>
      <c r="I142" s="22"/>
      <c r="J142" s="28" t="s">
        <v>325</v>
      </c>
    </row>
    <row r="143" spans="1:10" s="20" customFormat="1" x14ac:dyDescent="0.25">
      <c r="A143" s="14">
        <v>46087</v>
      </c>
      <c r="B143" s="20" t="s">
        <v>559</v>
      </c>
      <c r="C143" s="6" t="s">
        <v>175</v>
      </c>
      <c r="D143" s="20" t="s">
        <v>451</v>
      </c>
      <c r="E143" s="20" t="s">
        <v>52</v>
      </c>
      <c r="F143" s="6">
        <v>2</v>
      </c>
      <c r="G143" s="6"/>
      <c r="H143" s="6"/>
      <c r="I143" s="22"/>
      <c r="J143" s="28" t="s">
        <v>325</v>
      </c>
    </row>
    <row r="144" spans="1:10" s="20" customFormat="1" x14ac:dyDescent="0.25">
      <c r="A144" s="14">
        <v>46087</v>
      </c>
      <c r="B144" s="20" t="s">
        <v>559</v>
      </c>
      <c r="C144" s="6" t="s">
        <v>180</v>
      </c>
      <c r="D144" s="20" t="s">
        <v>456</v>
      </c>
      <c r="E144" s="20" t="s">
        <v>52</v>
      </c>
      <c r="F144" s="6">
        <v>2</v>
      </c>
      <c r="G144" s="6"/>
      <c r="H144" s="6"/>
      <c r="I144" s="22"/>
      <c r="J144" s="28" t="s">
        <v>325</v>
      </c>
    </row>
    <row r="145" spans="1:10" s="20" customFormat="1" x14ac:dyDescent="0.25">
      <c r="A145" s="14">
        <v>46087</v>
      </c>
      <c r="B145" s="20" t="s">
        <v>564</v>
      </c>
      <c r="C145" s="6" t="s">
        <v>136</v>
      </c>
      <c r="D145" s="20" t="s">
        <v>416</v>
      </c>
      <c r="E145" s="20" t="s">
        <v>52</v>
      </c>
      <c r="F145" s="6">
        <v>1</v>
      </c>
      <c r="G145" s="6"/>
      <c r="H145" s="6"/>
      <c r="I145" s="22"/>
      <c r="J145" s="28" t="s">
        <v>325</v>
      </c>
    </row>
    <row r="146" spans="1:10" s="20" customFormat="1" x14ac:dyDescent="0.25">
      <c r="A146" s="14">
        <v>46087</v>
      </c>
      <c r="B146" s="20" t="s">
        <v>562</v>
      </c>
      <c r="C146" s="6" t="s">
        <v>159</v>
      </c>
      <c r="D146" s="20" t="s">
        <v>435</v>
      </c>
      <c r="E146" s="20" t="s">
        <v>52</v>
      </c>
      <c r="F146" s="6">
        <v>1</v>
      </c>
      <c r="G146" s="6"/>
      <c r="H146" s="6"/>
      <c r="I146" s="22"/>
      <c r="J146" s="28" t="s">
        <v>325</v>
      </c>
    </row>
    <row r="147" spans="1:10" s="20" customFormat="1" x14ac:dyDescent="0.25">
      <c r="A147" s="14">
        <v>46087</v>
      </c>
      <c r="B147" s="20" t="s">
        <v>562</v>
      </c>
      <c r="C147" s="6" t="s">
        <v>179</v>
      </c>
      <c r="D147" s="20" t="s">
        <v>455</v>
      </c>
      <c r="E147" s="20" t="s">
        <v>52</v>
      </c>
      <c r="F147" s="6">
        <v>1</v>
      </c>
      <c r="G147" s="6"/>
      <c r="H147" s="6"/>
      <c r="I147" s="22"/>
      <c r="J147" s="28" t="s">
        <v>325</v>
      </c>
    </row>
    <row r="148" spans="1:10" s="20" customFormat="1" x14ac:dyDescent="0.25">
      <c r="A148" s="14">
        <v>46087</v>
      </c>
      <c r="B148" s="20" t="s">
        <v>559</v>
      </c>
      <c r="C148" s="6" t="s">
        <v>54</v>
      </c>
      <c r="D148" s="20" t="s">
        <v>8</v>
      </c>
      <c r="E148" s="20" t="s">
        <v>13</v>
      </c>
      <c r="F148" s="6">
        <v>1</v>
      </c>
      <c r="G148" s="6"/>
      <c r="H148" s="6"/>
      <c r="I148" s="22"/>
      <c r="J148" s="28" t="s">
        <v>325</v>
      </c>
    </row>
    <row r="149" spans="1:10" s="20" customFormat="1" x14ac:dyDescent="0.25">
      <c r="A149" s="14">
        <v>46087</v>
      </c>
      <c r="B149" s="20" t="s">
        <v>559</v>
      </c>
      <c r="C149" s="6" t="s">
        <v>55</v>
      </c>
      <c r="D149" s="20" t="s">
        <v>9</v>
      </c>
      <c r="E149" s="20" t="s">
        <v>13</v>
      </c>
      <c r="F149" s="6">
        <v>1</v>
      </c>
      <c r="G149" s="6"/>
      <c r="H149" s="6"/>
      <c r="I149" s="22"/>
      <c r="J149" s="28" t="s">
        <v>325</v>
      </c>
    </row>
    <row r="150" spans="1:10" s="20" customFormat="1" x14ac:dyDescent="0.25">
      <c r="A150" s="14">
        <v>46087</v>
      </c>
      <c r="B150" s="20" t="s">
        <v>559</v>
      </c>
      <c r="C150" s="6" t="s">
        <v>58</v>
      </c>
      <c r="D150" s="20" t="s">
        <v>12</v>
      </c>
      <c r="E150" s="20" t="s">
        <v>13</v>
      </c>
      <c r="F150" s="6">
        <v>2</v>
      </c>
      <c r="G150" s="6"/>
      <c r="H150" s="6"/>
      <c r="I150" s="22"/>
      <c r="J150" s="28" t="s">
        <v>325</v>
      </c>
    </row>
    <row r="151" spans="1:10" s="20" customFormat="1" x14ac:dyDescent="0.25">
      <c r="A151" s="14">
        <v>46087</v>
      </c>
      <c r="B151" s="20" t="s">
        <v>562</v>
      </c>
      <c r="C151" s="6" t="s">
        <v>57</v>
      </c>
      <c r="D151" s="20" t="s">
        <v>11</v>
      </c>
      <c r="E151" s="20" t="s">
        <v>13</v>
      </c>
      <c r="F151" s="6">
        <v>1</v>
      </c>
      <c r="G151" s="6"/>
      <c r="H151" s="6"/>
      <c r="I151" s="22"/>
      <c r="J151" s="28" t="s">
        <v>325</v>
      </c>
    </row>
    <row r="152" spans="1:10" s="20" customFormat="1" x14ac:dyDescent="0.25">
      <c r="A152" s="14">
        <v>46087</v>
      </c>
      <c r="B152" s="20" t="s">
        <v>562</v>
      </c>
      <c r="C152" s="6" t="s">
        <v>58</v>
      </c>
      <c r="D152" s="20" t="s">
        <v>12</v>
      </c>
      <c r="E152" s="20" t="s">
        <v>13</v>
      </c>
      <c r="F152" s="6">
        <v>1</v>
      </c>
      <c r="G152" s="6"/>
      <c r="H152" s="6"/>
      <c r="I152" s="22"/>
      <c r="J152" s="28" t="s">
        <v>325</v>
      </c>
    </row>
    <row r="153" spans="1:10" s="20" customFormat="1" x14ac:dyDescent="0.25">
      <c r="A153" s="14">
        <v>46087</v>
      </c>
      <c r="B153" s="20" t="s">
        <v>559</v>
      </c>
      <c r="C153" s="6" t="s">
        <v>248</v>
      </c>
      <c r="D153" s="20" t="s">
        <v>38</v>
      </c>
      <c r="E153" s="20" t="s">
        <v>50</v>
      </c>
      <c r="F153" s="6">
        <v>1</v>
      </c>
      <c r="G153" s="6"/>
      <c r="H153" s="6"/>
      <c r="I153" s="22"/>
      <c r="J153" s="28" t="s">
        <v>325</v>
      </c>
    </row>
    <row r="154" spans="1:10" s="20" customFormat="1" x14ac:dyDescent="0.25">
      <c r="A154" s="14">
        <v>46087</v>
      </c>
      <c r="B154" s="20" t="s">
        <v>559</v>
      </c>
      <c r="C154" s="6" t="s">
        <v>244</v>
      </c>
      <c r="D154" s="20" t="s">
        <v>34</v>
      </c>
      <c r="E154" s="20" t="s">
        <v>50</v>
      </c>
      <c r="F154" s="6">
        <v>1</v>
      </c>
      <c r="G154" s="6"/>
      <c r="H154" s="6"/>
      <c r="I154" s="22"/>
      <c r="J154" s="28" t="s">
        <v>325</v>
      </c>
    </row>
    <row r="155" spans="1:10" s="20" customFormat="1" x14ac:dyDescent="0.25">
      <c r="A155" s="14">
        <v>46087</v>
      </c>
      <c r="B155" s="20" t="s">
        <v>559</v>
      </c>
      <c r="C155" s="6" t="s">
        <v>259</v>
      </c>
      <c r="D155" s="20" t="s">
        <v>49</v>
      </c>
      <c r="E155" s="20" t="s">
        <v>50</v>
      </c>
      <c r="F155" s="6">
        <v>1</v>
      </c>
      <c r="G155" s="6"/>
      <c r="H155" s="6"/>
      <c r="I155" s="22"/>
      <c r="J155" s="28" t="s">
        <v>325</v>
      </c>
    </row>
    <row r="156" spans="1:10" s="20" customFormat="1" x14ac:dyDescent="0.25">
      <c r="A156" s="14">
        <v>46087</v>
      </c>
      <c r="B156" s="20" t="s">
        <v>559</v>
      </c>
      <c r="C156" s="6" t="s">
        <v>249</v>
      </c>
      <c r="D156" s="20" t="s">
        <v>39</v>
      </c>
      <c r="E156" s="20" t="s">
        <v>50</v>
      </c>
      <c r="F156" s="6">
        <v>1</v>
      </c>
      <c r="G156" s="6"/>
      <c r="H156" s="6"/>
      <c r="I156" s="22"/>
      <c r="J156" s="28" t="s">
        <v>325</v>
      </c>
    </row>
    <row r="157" spans="1:10" s="20" customFormat="1" x14ac:dyDescent="0.25">
      <c r="A157" s="14">
        <v>46088</v>
      </c>
      <c r="B157" s="20" t="s">
        <v>568</v>
      </c>
      <c r="C157" s="6" t="s">
        <v>221</v>
      </c>
      <c r="D157" s="20" t="s">
        <v>503</v>
      </c>
      <c r="E157" s="20" t="s">
        <v>51</v>
      </c>
      <c r="F157" s="6">
        <v>1</v>
      </c>
      <c r="G157" s="6"/>
      <c r="H157" s="6"/>
      <c r="I157" s="22"/>
      <c r="J157" s="28" t="s">
        <v>325</v>
      </c>
    </row>
    <row r="158" spans="1:10" s="20" customFormat="1" x14ac:dyDescent="0.25">
      <c r="A158" s="14">
        <v>46088</v>
      </c>
      <c r="B158" s="20" t="s">
        <v>568</v>
      </c>
      <c r="C158" s="6" t="s">
        <v>229</v>
      </c>
      <c r="D158" s="20" t="s">
        <v>511</v>
      </c>
      <c r="E158" s="20" t="s">
        <v>51</v>
      </c>
      <c r="F158" s="6">
        <v>1</v>
      </c>
      <c r="G158" s="6"/>
      <c r="H158" s="6"/>
      <c r="I158" s="22"/>
      <c r="J158" s="28" t="s">
        <v>325</v>
      </c>
    </row>
    <row r="159" spans="1:10" s="20" customFormat="1" x14ac:dyDescent="0.25">
      <c r="A159" s="14">
        <v>46088</v>
      </c>
      <c r="B159" s="93" t="s">
        <v>565</v>
      </c>
      <c r="C159" s="7" t="s">
        <v>194</v>
      </c>
      <c r="D159" s="93" t="s">
        <v>476</v>
      </c>
      <c r="E159" s="93" t="s">
        <v>51</v>
      </c>
      <c r="F159" s="7">
        <v>1</v>
      </c>
      <c r="G159" s="7"/>
      <c r="H159" s="7"/>
      <c r="I159" s="24"/>
      <c r="J159" s="29"/>
    </row>
    <row r="160" spans="1:10" s="20" customFormat="1" x14ac:dyDescent="0.25">
      <c r="A160" s="14">
        <v>46088</v>
      </c>
      <c r="B160" s="20" t="s">
        <v>553</v>
      </c>
      <c r="C160" s="6" t="s">
        <v>208</v>
      </c>
      <c r="D160" s="20" t="s">
        <v>490</v>
      </c>
      <c r="E160" s="20" t="s">
        <v>51</v>
      </c>
      <c r="F160" s="6">
        <v>1</v>
      </c>
      <c r="G160" s="6"/>
      <c r="H160" s="6"/>
      <c r="I160" s="22"/>
      <c r="J160" s="28" t="s">
        <v>325</v>
      </c>
    </row>
    <row r="161" spans="1:10" s="20" customFormat="1" x14ac:dyDescent="0.25">
      <c r="A161" s="14">
        <v>46088</v>
      </c>
      <c r="B161" s="20" t="s">
        <v>553</v>
      </c>
      <c r="C161" s="6" t="s">
        <v>199</v>
      </c>
      <c r="D161" s="20" t="s">
        <v>481</v>
      </c>
      <c r="E161" s="20" t="s">
        <v>51</v>
      </c>
      <c r="F161" s="6">
        <v>1</v>
      </c>
      <c r="G161" s="6"/>
      <c r="H161" s="6"/>
      <c r="I161" s="22"/>
      <c r="J161" s="28" t="s">
        <v>325</v>
      </c>
    </row>
    <row r="162" spans="1:10" s="20" customFormat="1" x14ac:dyDescent="0.25">
      <c r="A162" s="14">
        <v>46088</v>
      </c>
      <c r="B162" s="20" t="s">
        <v>527</v>
      </c>
      <c r="C162" s="6" t="s">
        <v>213</v>
      </c>
      <c r="D162" s="20" t="s">
        <v>495</v>
      </c>
      <c r="E162" s="20" t="s">
        <v>51</v>
      </c>
      <c r="F162" s="6">
        <v>1</v>
      </c>
      <c r="G162" s="6"/>
      <c r="H162" s="6"/>
      <c r="I162" s="22"/>
      <c r="J162" s="28" t="s">
        <v>325</v>
      </c>
    </row>
    <row r="163" spans="1:10" s="20" customFormat="1" x14ac:dyDescent="0.25">
      <c r="A163" s="14">
        <v>46088</v>
      </c>
      <c r="B163" s="20" t="s">
        <v>566</v>
      </c>
      <c r="C163" s="6" t="s">
        <v>140</v>
      </c>
      <c r="D163" s="20" t="s">
        <v>419</v>
      </c>
      <c r="E163" s="20" t="s">
        <v>52</v>
      </c>
      <c r="F163" s="6">
        <v>1</v>
      </c>
      <c r="G163" s="6"/>
      <c r="H163" s="6"/>
      <c r="I163" s="22"/>
      <c r="J163" s="28" t="s">
        <v>325</v>
      </c>
    </row>
    <row r="164" spans="1:10" s="20" customFormat="1" x14ac:dyDescent="0.25">
      <c r="A164" s="14">
        <v>46088</v>
      </c>
      <c r="B164" s="20" t="s">
        <v>566</v>
      </c>
      <c r="C164" s="6" t="s">
        <v>125</v>
      </c>
      <c r="D164" s="20" t="s">
        <v>405</v>
      </c>
      <c r="E164" s="20" t="s">
        <v>52</v>
      </c>
      <c r="F164" s="6">
        <v>1</v>
      </c>
      <c r="G164" s="6"/>
      <c r="H164" s="6"/>
      <c r="I164" s="22"/>
      <c r="J164" s="28" t="s">
        <v>325</v>
      </c>
    </row>
    <row r="165" spans="1:10" s="20" customFormat="1" x14ac:dyDescent="0.25">
      <c r="A165" s="14">
        <v>46088</v>
      </c>
      <c r="B165" s="20" t="s">
        <v>546</v>
      </c>
      <c r="C165" s="6" t="s">
        <v>271</v>
      </c>
      <c r="D165" s="20" t="s">
        <v>457</v>
      </c>
      <c r="E165" s="37" t="s">
        <v>52</v>
      </c>
      <c r="F165" s="6">
        <v>1</v>
      </c>
      <c r="G165" s="6"/>
      <c r="H165" s="6"/>
      <c r="I165" s="22"/>
      <c r="J165" s="28" t="s">
        <v>572</v>
      </c>
    </row>
    <row r="166" spans="1:10" s="20" customFormat="1" x14ac:dyDescent="0.25">
      <c r="A166" s="14">
        <v>46088</v>
      </c>
      <c r="B166" s="20" t="s">
        <v>546</v>
      </c>
      <c r="C166" s="6" t="s">
        <v>165</v>
      </c>
      <c r="D166" s="20" t="s">
        <v>441</v>
      </c>
      <c r="E166" s="20" t="s">
        <v>52</v>
      </c>
      <c r="F166" s="6">
        <v>1</v>
      </c>
      <c r="G166" s="6"/>
      <c r="H166" s="6"/>
      <c r="I166" s="22"/>
      <c r="J166" s="28" t="s">
        <v>567</v>
      </c>
    </row>
    <row r="167" spans="1:10" s="20" customFormat="1" x14ac:dyDescent="0.25">
      <c r="A167" s="14">
        <v>46088</v>
      </c>
      <c r="B167" s="20" t="s">
        <v>546</v>
      </c>
      <c r="C167" s="6" t="s">
        <v>169</v>
      </c>
      <c r="D167" s="20" t="s">
        <v>445</v>
      </c>
      <c r="E167" s="20" t="s">
        <v>52</v>
      </c>
      <c r="F167" s="6">
        <v>1</v>
      </c>
      <c r="G167" s="6"/>
      <c r="H167" s="6"/>
      <c r="I167" s="22"/>
      <c r="J167" s="28" t="s">
        <v>567</v>
      </c>
    </row>
    <row r="168" spans="1:10" s="20" customFormat="1" x14ac:dyDescent="0.25">
      <c r="A168" s="14">
        <v>46088</v>
      </c>
      <c r="B168" s="20" t="s">
        <v>546</v>
      </c>
      <c r="C168" s="6" t="s">
        <v>170</v>
      </c>
      <c r="D168" s="20" t="s">
        <v>446</v>
      </c>
      <c r="E168" s="20" t="s">
        <v>52</v>
      </c>
      <c r="F168" s="6">
        <v>1</v>
      </c>
      <c r="G168" s="6"/>
      <c r="H168" s="6"/>
      <c r="I168" s="22"/>
      <c r="J168" s="28" t="s">
        <v>567</v>
      </c>
    </row>
    <row r="169" spans="1:10" s="20" customFormat="1" x14ac:dyDescent="0.25">
      <c r="A169" s="14">
        <v>46088</v>
      </c>
      <c r="B169" s="20" t="s">
        <v>527</v>
      </c>
      <c r="C169" s="6" t="s">
        <v>151</v>
      </c>
      <c r="D169" s="20" t="s">
        <v>427</v>
      </c>
      <c r="E169" s="20" t="s">
        <v>52</v>
      </c>
      <c r="F169" s="6">
        <v>1</v>
      </c>
      <c r="G169" s="6"/>
      <c r="H169" s="6"/>
      <c r="I169" s="22"/>
      <c r="J169" s="28" t="s">
        <v>325</v>
      </c>
    </row>
    <row r="170" spans="1:10" s="20" customFormat="1" x14ac:dyDescent="0.25">
      <c r="A170" s="14">
        <v>46088</v>
      </c>
      <c r="B170" s="93" t="s">
        <v>360</v>
      </c>
      <c r="C170" s="7" t="s">
        <v>134</v>
      </c>
      <c r="D170" s="93" t="s">
        <v>414</v>
      </c>
      <c r="E170" s="93" t="s">
        <v>52</v>
      </c>
      <c r="F170" s="7">
        <v>1</v>
      </c>
      <c r="G170" s="7"/>
      <c r="H170" s="7"/>
      <c r="I170" s="24"/>
      <c r="J170" s="29"/>
    </row>
    <row r="171" spans="1:10" s="20" customFormat="1" x14ac:dyDescent="0.25">
      <c r="A171" s="14">
        <v>46088</v>
      </c>
      <c r="B171" s="93" t="s">
        <v>360</v>
      </c>
      <c r="C171" s="7" t="s">
        <v>149</v>
      </c>
      <c r="D171" s="93" t="s">
        <v>425</v>
      </c>
      <c r="E171" s="93" t="s">
        <v>52</v>
      </c>
      <c r="F171" s="7">
        <v>1</v>
      </c>
      <c r="G171" s="7"/>
      <c r="H171" s="7"/>
      <c r="I171" s="24"/>
      <c r="J171" s="29"/>
    </row>
    <row r="172" spans="1:10" s="20" customFormat="1" x14ac:dyDescent="0.25">
      <c r="A172" s="14">
        <v>46089</v>
      </c>
      <c r="B172" s="20" t="s">
        <v>569</v>
      </c>
      <c r="C172" s="6" t="s">
        <v>203</v>
      </c>
      <c r="D172" s="20" t="s">
        <v>485</v>
      </c>
      <c r="E172" s="20" t="s">
        <v>51</v>
      </c>
      <c r="F172" s="6">
        <v>1</v>
      </c>
      <c r="G172" s="6"/>
      <c r="H172" s="6"/>
      <c r="I172" s="22"/>
      <c r="J172" s="28" t="s">
        <v>325</v>
      </c>
    </row>
    <row r="173" spans="1:10" s="20" customFormat="1" x14ac:dyDescent="0.25">
      <c r="A173" s="14">
        <v>46089</v>
      </c>
      <c r="B173" s="20" t="s">
        <v>570</v>
      </c>
      <c r="C173" s="6" t="s">
        <v>144</v>
      </c>
      <c r="D173" s="20" t="s">
        <v>335</v>
      </c>
      <c r="E173" s="20" t="s">
        <v>52</v>
      </c>
      <c r="F173" s="6">
        <v>1</v>
      </c>
      <c r="G173" s="6"/>
      <c r="H173" s="6"/>
      <c r="I173" s="22"/>
      <c r="J173" s="28" t="s">
        <v>325</v>
      </c>
    </row>
    <row r="174" spans="1:10" s="20" customFormat="1" x14ac:dyDescent="0.25">
      <c r="A174" s="14">
        <v>46089</v>
      </c>
      <c r="B174" s="20" t="s">
        <v>570</v>
      </c>
      <c r="C174" s="6" t="s">
        <v>180</v>
      </c>
      <c r="D174" s="20" t="s">
        <v>456</v>
      </c>
      <c r="E174" s="20" t="s">
        <v>52</v>
      </c>
      <c r="F174" s="6">
        <v>1</v>
      </c>
      <c r="G174" s="6"/>
      <c r="H174" s="6"/>
      <c r="I174" s="22"/>
      <c r="J174" s="28" t="s">
        <v>325</v>
      </c>
    </row>
    <row r="175" spans="1:10" s="20" customFormat="1" x14ac:dyDescent="0.25">
      <c r="A175" s="14">
        <v>46090</v>
      </c>
      <c r="B175" s="20" t="s">
        <v>578</v>
      </c>
      <c r="C175" s="6" t="s">
        <v>229</v>
      </c>
      <c r="D175" s="20" t="s">
        <v>511</v>
      </c>
      <c r="E175" s="20" t="s">
        <v>51</v>
      </c>
      <c r="F175" s="6">
        <v>0</v>
      </c>
      <c r="G175" s="6"/>
      <c r="H175" s="6"/>
      <c r="I175" s="22"/>
      <c r="J175" s="28" t="s">
        <v>325</v>
      </c>
    </row>
    <row r="176" spans="1:10" s="20" customFormat="1" x14ac:dyDescent="0.25">
      <c r="A176" s="14">
        <v>46090</v>
      </c>
      <c r="B176" s="93" t="s">
        <v>557</v>
      </c>
      <c r="C176" s="7" t="s">
        <v>229</v>
      </c>
      <c r="D176" s="93" t="s">
        <v>511</v>
      </c>
      <c r="E176" s="93" t="s">
        <v>51</v>
      </c>
      <c r="F176" s="7">
        <v>1</v>
      </c>
      <c r="G176" s="7"/>
      <c r="H176" s="7"/>
      <c r="I176" s="24"/>
      <c r="J176" s="29"/>
    </row>
    <row r="177" spans="1:10" s="20" customFormat="1" x14ac:dyDescent="0.25">
      <c r="A177" s="14">
        <v>46090</v>
      </c>
      <c r="B177" s="93" t="s">
        <v>574</v>
      </c>
      <c r="C177" s="7" t="s">
        <v>206</v>
      </c>
      <c r="D177" s="93" t="s">
        <v>488</v>
      </c>
      <c r="E177" s="93" t="s">
        <v>51</v>
      </c>
      <c r="F177" s="7">
        <v>1</v>
      </c>
      <c r="G177" s="7"/>
      <c r="H177" s="7"/>
      <c r="I177" s="24"/>
      <c r="J177" s="29"/>
    </row>
    <row r="178" spans="1:10" s="20" customFormat="1" x14ac:dyDescent="0.25">
      <c r="A178" s="14">
        <v>46090</v>
      </c>
      <c r="B178" s="20" t="s">
        <v>338</v>
      </c>
      <c r="C178" s="6" t="s">
        <v>229</v>
      </c>
      <c r="D178" s="20" t="s">
        <v>511</v>
      </c>
      <c r="E178" s="20" t="s">
        <v>51</v>
      </c>
      <c r="F178" s="6">
        <v>2</v>
      </c>
      <c r="G178" s="6"/>
      <c r="H178" s="6"/>
      <c r="I178" s="22"/>
      <c r="J178" s="28" t="s">
        <v>325</v>
      </c>
    </row>
    <row r="179" spans="1:10" s="20" customFormat="1" x14ac:dyDescent="0.25">
      <c r="A179" s="14">
        <v>46090</v>
      </c>
      <c r="B179" s="20" t="s">
        <v>545</v>
      </c>
      <c r="C179" s="6" t="s">
        <v>233</v>
      </c>
      <c r="D179" s="20" t="s">
        <v>515</v>
      </c>
      <c r="E179" s="20" t="s">
        <v>51</v>
      </c>
      <c r="F179" s="6">
        <v>1</v>
      </c>
      <c r="G179" s="6"/>
      <c r="H179" s="6"/>
      <c r="I179" s="22"/>
      <c r="J179" s="28" t="s">
        <v>325</v>
      </c>
    </row>
    <row r="180" spans="1:10" s="20" customFormat="1" x14ac:dyDescent="0.25">
      <c r="A180" s="14">
        <v>46090</v>
      </c>
      <c r="B180" s="20" t="s">
        <v>578</v>
      </c>
      <c r="C180" s="6" t="s">
        <v>168</v>
      </c>
      <c r="D180" s="20" t="s">
        <v>444</v>
      </c>
      <c r="E180" s="20" t="s">
        <v>52</v>
      </c>
      <c r="F180" s="6">
        <v>0</v>
      </c>
      <c r="G180" s="6"/>
      <c r="H180" s="6"/>
      <c r="I180" s="22"/>
      <c r="J180" s="28" t="s">
        <v>325</v>
      </c>
    </row>
    <row r="181" spans="1:10" s="20" customFormat="1" x14ac:dyDescent="0.25">
      <c r="A181" s="14">
        <v>46090</v>
      </c>
      <c r="B181" s="20" t="s">
        <v>578</v>
      </c>
      <c r="C181" s="6" t="s">
        <v>136</v>
      </c>
      <c r="D181" s="20" t="s">
        <v>416</v>
      </c>
      <c r="E181" s="20" t="s">
        <v>52</v>
      </c>
      <c r="F181" s="6">
        <v>0</v>
      </c>
      <c r="G181" s="6"/>
      <c r="H181" s="6"/>
      <c r="I181" s="22"/>
      <c r="J181" s="28" t="s">
        <v>325</v>
      </c>
    </row>
    <row r="182" spans="1:10" s="20" customFormat="1" x14ac:dyDescent="0.25">
      <c r="A182" s="14">
        <v>46090</v>
      </c>
      <c r="B182" s="20" t="s">
        <v>578</v>
      </c>
      <c r="C182" s="6" t="s">
        <v>174</v>
      </c>
      <c r="D182" s="20" t="s">
        <v>450</v>
      </c>
      <c r="E182" s="20" t="s">
        <v>52</v>
      </c>
      <c r="F182" s="6">
        <v>0</v>
      </c>
      <c r="G182" s="6"/>
      <c r="H182" s="6"/>
      <c r="I182" s="22"/>
      <c r="J182" s="28" t="s">
        <v>325</v>
      </c>
    </row>
    <row r="183" spans="1:10" s="20" customFormat="1" x14ac:dyDescent="0.25">
      <c r="A183" s="14">
        <v>46090</v>
      </c>
      <c r="B183" s="20" t="s">
        <v>578</v>
      </c>
      <c r="C183" s="6" t="s">
        <v>178</v>
      </c>
      <c r="D183" s="20" t="s">
        <v>454</v>
      </c>
      <c r="E183" s="20" t="s">
        <v>52</v>
      </c>
      <c r="F183" s="6">
        <v>0</v>
      </c>
      <c r="G183" s="6"/>
      <c r="H183" s="6"/>
      <c r="I183" s="6"/>
      <c r="J183" s="28" t="s">
        <v>325</v>
      </c>
    </row>
    <row r="184" spans="1:10" s="20" customFormat="1" x14ac:dyDescent="0.25">
      <c r="A184" s="14">
        <v>46090</v>
      </c>
      <c r="B184" s="20" t="s">
        <v>578</v>
      </c>
      <c r="C184" s="6" t="s">
        <v>170</v>
      </c>
      <c r="D184" s="20" t="s">
        <v>446</v>
      </c>
      <c r="E184" s="20" t="s">
        <v>52</v>
      </c>
      <c r="F184" s="6">
        <v>0</v>
      </c>
      <c r="G184" s="6"/>
      <c r="H184" s="6"/>
      <c r="I184" s="6"/>
      <c r="J184" s="28" t="s">
        <v>325</v>
      </c>
    </row>
    <row r="185" spans="1:10" s="20" customFormat="1" x14ac:dyDescent="0.25">
      <c r="A185" s="14">
        <v>46090</v>
      </c>
      <c r="B185" s="20" t="s">
        <v>578</v>
      </c>
      <c r="C185" s="6" t="s">
        <v>173</v>
      </c>
      <c r="D185" s="20" t="s">
        <v>449</v>
      </c>
      <c r="E185" s="20" t="s">
        <v>52</v>
      </c>
      <c r="F185" s="6">
        <v>0</v>
      </c>
      <c r="G185" s="6"/>
      <c r="H185" s="6"/>
      <c r="I185" s="6"/>
      <c r="J185" s="28" t="s">
        <v>325</v>
      </c>
    </row>
    <row r="186" spans="1:10" s="20" customFormat="1" x14ac:dyDescent="0.25">
      <c r="A186" s="14">
        <v>46090</v>
      </c>
      <c r="B186" s="93" t="s">
        <v>338</v>
      </c>
      <c r="C186" s="7" t="s">
        <v>145</v>
      </c>
      <c r="D186" s="93" t="s">
        <v>421</v>
      </c>
      <c r="E186" s="93" t="s">
        <v>52</v>
      </c>
      <c r="F186" s="7">
        <v>1</v>
      </c>
      <c r="G186" s="7"/>
      <c r="H186" s="7"/>
      <c r="I186" s="7"/>
      <c r="J186" s="29"/>
    </row>
    <row r="187" spans="1:10" s="20" customFormat="1" x14ac:dyDescent="0.25">
      <c r="A187" s="14">
        <v>46090</v>
      </c>
      <c r="B187" s="93" t="s">
        <v>338</v>
      </c>
      <c r="C187" s="7" t="s">
        <v>134</v>
      </c>
      <c r="D187" s="93" t="s">
        <v>414</v>
      </c>
      <c r="E187" s="93" t="s">
        <v>52</v>
      </c>
      <c r="F187" s="7">
        <v>1</v>
      </c>
      <c r="G187" s="7"/>
      <c r="H187" s="7"/>
      <c r="I187" s="7"/>
      <c r="J187" s="29"/>
    </row>
    <row r="188" spans="1:10" s="20" customFormat="1" x14ac:dyDescent="0.25">
      <c r="A188" s="14">
        <v>46090</v>
      </c>
      <c r="B188" s="93" t="s">
        <v>338</v>
      </c>
      <c r="C188" s="7" t="s">
        <v>134</v>
      </c>
      <c r="D188" s="93" t="s">
        <v>414</v>
      </c>
      <c r="E188" s="93" t="s">
        <v>52</v>
      </c>
      <c r="F188" s="7">
        <v>1</v>
      </c>
      <c r="G188" s="7"/>
      <c r="H188" s="7"/>
      <c r="I188" s="7"/>
      <c r="J188" s="29"/>
    </row>
    <row r="189" spans="1:10" s="20" customFormat="1" x14ac:dyDescent="0.25">
      <c r="A189" s="14">
        <v>46090</v>
      </c>
      <c r="B189" s="93" t="s">
        <v>338</v>
      </c>
      <c r="C189" s="7" t="s">
        <v>139</v>
      </c>
      <c r="D189" s="93" t="s">
        <v>420</v>
      </c>
      <c r="E189" s="93" t="s">
        <v>52</v>
      </c>
      <c r="F189" s="7">
        <v>1</v>
      </c>
      <c r="G189" s="7"/>
      <c r="H189" s="7"/>
      <c r="I189" s="7"/>
      <c r="J189" s="29"/>
    </row>
    <row r="190" spans="1:10" s="20" customFormat="1" x14ac:dyDescent="0.25">
      <c r="A190" s="14">
        <v>46090</v>
      </c>
      <c r="B190" s="93" t="s">
        <v>338</v>
      </c>
      <c r="C190" s="7" t="s">
        <v>180</v>
      </c>
      <c r="D190" s="93" t="s">
        <v>456</v>
      </c>
      <c r="E190" s="93" t="s">
        <v>52</v>
      </c>
      <c r="F190" s="7">
        <v>1</v>
      </c>
      <c r="G190" s="7"/>
      <c r="H190" s="7"/>
      <c r="I190" s="24"/>
      <c r="J190" s="29"/>
    </row>
    <row r="191" spans="1:10" s="20" customFormat="1" x14ac:dyDescent="0.25">
      <c r="A191" s="14">
        <v>46090</v>
      </c>
      <c r="B191" s="93" t="s">
        <v>338</v>
      </c>
      <c r="C191" s="7" t="s">
        <v>125</v>
      </c>
      <c r="D191" s="93" t="s">
        <v>405</v>
      </c>
      <c r="E191" s="93" t="s">
        <v>52</v>
      </c>
      <c r="F191" s="7">
        <v>1</v>
      </c>
      <c r="G191" s="7"/>
      <c r="H191" s="7"/>
      <c r="I191" s="24"/>
      <c r="J191" s="29"/>
    </row>
    <row r="192" spans="1:10" s="20" customFormat="1" x14ac:dyDescent="0.25">
      <c r="A192" s="14">
        <v>46090</v>
      </c>
      <c r="B192" s="20" t="s">
        <v>579</v>
      </c>
      <c r="C192" s="6" t="s">
        <v>152</v>
      </c>
      <c r="D192" s="20" t="s">
        <v>428</v>
      </c>
      <c r="E192" s="20" t="s">
        <v>52</v>
      </c>
      <c r="F192" s="6">
        <v>1</v>
      </c>
      <c r="G192" s="6"/>
      <c r="H192" s="6"/>
      <c r="I192" s="22"/>
      <c r="J192" s="28" t="s">
        <v>325</v>
      </c>
    </row>
    <row r="193" spans="1:10" s="20" customFormat="1" x14ac:dyDescent="0.25">
      <c r="A193" s="14">
        <v>46090</v>
      </c>
      <c r="B193" s="20" t="s">
        <v>545</v>
      </c>
      <c r="C193" s="6" t="s">
        <v>140</v>
      </c>
      <c r="D193" s="20" t="s">
        <v>419</v>
      </c>
      <c r="E193" s="20" t="s">
        <v>52</v>
      </c>
      <c r="F193" s="6">
        <v>1</v>
      </c>
      <c r="G193" s="6"/>
      <c r="H193" s="6"/>
      <c r="I193" s="22"/>
      <c r="J193" s="28" t="s">
        <v>325</v>
      </c>
    </row>
    <row r="194" spans="1:10" s="20" customFormat="1" x14ac:dyDescent="0.25">
      <c r="A194" s="14">
        <v>46091</v>
      </c>
      <c r="B194" s="103" t="s">
        <v>547</v>
      </c>
      <c r="C194" s="6" t="s">
        <v>203</v>
      </c>
      <c r="D194" s="20" t="s">
        <v>485</v>
      </c>
      <c r="E194" s="20" t="s">
        <v>51</v>
      </c>
      <c r="F194" s="6">
        <v>1</v>
      </c>
      <c r="G194" s="6"/>
      <c r="H194" s="6"/>
      <c r="I194" s="22"/>
      <c r="J194" s="28" t="s">
        <v>325</v>
      </c>
    </row>
    <row r="195" spans="1:10" s="20" customFormat="1" x14ac:dyDescent="0.25">
      <c r="A195" s="14">
        <v>46091</v>
      </c>
      <c r="B195" s="93" t="s">
        <v>338</v>
      </c>
      <c r="C195" s="7" t="s">
        <v>229</v>
      </c>
      <c r="D195" s="93" t="s">
        <v>511</v>
      </c>
      <c r="E195" s="93" t="s">
        <v>51</v>
      </c>
      <c r="F195" s="7">
        <v>1</v>
      </c>
      <c r="G195" s="7"/>
      <c r="H195" s="7"/>
      <c r="I195" s="24"/>
      <c r="J195" s="29"/>
    </row>
    <row r="196" spans="1:10" s="20" customFormat="1" x14ac:dyDescent="0.25">
      <c r="A196" s="14">
        <v>46091</v>
      </c>
      <c r="B196" s="20" t="s">
        <v>546</v>
      </c>
      <c r="C196" s="6" t="s">
        <v>223</v>
      </c>
      <c r="D196" s="20" t="s">
        <v>505</v>
      </c>
      <c r="E196" s="20" t="s">
        <v>51</v>
      </c>
      <c r="F196" s="6">
        <v>1</v>
      </c>
      <c r="G196" s="6"/>
      <c r="H196" s="6"/>
      <c r="I196" s="22"/>
      <c r="J196" s="28" t="s">
        <v>325</v>
      </c>
    </row>
    <row r="197" spans="1:10" s="20" customFormat="1" x14ac:dyDescent="0.25">
      <c r="A197" s="14">
        <v>46091</v>
      </c>
      <c r="B197" s="20" t="s">
        <v>547</v>
      </c>
      <c r="C197" s="6" t="s">
        <v>178</v>
      </c>
      <c r="D197" s="20" t="s">
        <v>454</v>
      </c>
      <c r="E197" s="37" t="s">
        <v>52</v>
      </c>
      <c r="F197" s="6">
        <v>3</v>
      </c>
      <c r="G197" s="6"/>
      <c r="H197" s="6"/>
      <c r="I197" s="22"/>
      <c r="J197" s="28" t="s">
        <v>325</v>
      </c>
    </row>
    <row r="198" spans="1:10" s="20" customFormat="1" x14ac:dyDescent="0.25">
      <c r="A198" s="14">
        <v>46091</v>
      </c>
      <c r="B198" s="20" t="s">
        <v>547</v>
      </c>
      <c r="C198" s="6" t="s">
        <v>169</v>
      </c>
      <c r="D198" s="20" t="s">
        <v>445</v>
      </c>
      <c r="E198" s="37" t="s">
        <v>52</v>
      </c>
      <c r="F198" s="6">
        <v>4</v>
      </c>
      <c r="G198" s="6"/>
      <c r="H198" s="6"/>
      <c r="I198" s="22"/>
      <c r="J198" s="28" t="s">
        <v>325</v>
      </c>
    </row>
    <row r="199" spans="1:10" s="20" customFormat="1" x14ac:dyDescent="0.25">
      <c r="A199" s="14">
        <v>46091</v>
      </c>
      <c r="B199" s="20" t="s">
        <v>547</v>
      </c>
      <c r="C199" s="6" t="s">
        <v>269</v>
      </c>
      <c r="D199" s="20" t="s">
        <v>400</v>
      </c>
      <c r="E199" s="37" t="s">
        <v>52</v>
      </c>
      <c r="F199" s="6">
        <v>3</v>
      </c>
      <c r="G199" s="6"/>
      <c r="H199" s="6"/>
      <c r="I199" s="22"/>
      <c r="J199" s="28" t="s">
        <v>325</v>
      </c>
    </row>
    <row r="200" spans="1:10" s="20" customFormat="1" x14ac:dyDescent="0.25">
      <c r="A200" s="14">
        <v>46091</v>
      </c>
      <c r="B200" s="20" t="s">
        <v>547</v>
      </c>
      <c r="C200" s="72" t="s">
        <v>153</v>
      </c>
      <c r="D200" s="20" t="s">
        <v>429</v>
      </c>
      <c r="E200" s="105" t="s">
        <v>52</v>
      </c>
      <c r="F200" s="6">
        <v>1</v>
      </c>
      <c r="G200" s="6"/>
      <c r="H200" s="6"/>
      <c r="I200" s="22"/>
      <c r="J200" s="28" t="s">
        <v>325</v>
      </c>
    </row>
    <row r="201" spans="1:10" s="20" customFormat="1" x14ac:dyDescent="0.25">
      <c r="A201" s="14">
        <v>46091</v>
      </c>
      <c r="B201" s="20" t="s">
        <v>547</v>
      </c>
      <c r="C201" s="6" t="s">
        <v>154</v>
      </c>
      <c r="D201" s="20" t="s">
        <v>430</v>
      </c>
      <c r="E201" s="37" t="s">
        <v>52</v>
      </c>
      <c r="F201" s="6">
        <v>3</v>
      </c>
      <c r="G201" s="6"/>
      <c r="H201" s="6"/>
      <c r="I201" s="22"/>
      <c r="J201" s="28" t="s">
        <v>325</v>
      </c>
    </row>
    <row r="202" spans="1:10" s="20" customFormat="1" x14ac:dyDescent="0.25">
      <c r="A202" s="14">
        <v>46091</v>
      </c>
      <c r="B202" s="20" t="s">
        <v>547</v>
      </c>
      <c r="C202" s="72" t="s">
        <v>155</v>
      </c>
      <c r="D202" s="20" t="s">
        <v>431</v>
      </c>
      <c r="E202" s="94" t="s">
        <v>52</v>
      </c>
      <c r="F202" s="6">
        <v>2</v>
      </c>
      <c r="G202" s="6"/>
      <c r="H202" s="6"/>
      <c r="I202" s="22"/>
      <c r="J202" s="28" t="s">
        <v>325</v>
      </c>
    </row>
    <row r="203" spans="1:10" s="20" customFormat="1" x14ac:dyDescent="0.25">
      <c r="A203" s="14">
        <v>46091</v>
      </c>
      <c r="B203" s="20" t="s">
        <v>547</v>
      </c>
      <c r="C203" s="6" t="s">
        <v>157</v>
      </c>
      <c r="D203" s="20" t="s">
        <v>433</v>
      </c>
      <c r="E203" s="20" t="s">
        <v>52</v>
      </c>
      <c r="F203" s="6">
        <v>1</v>
      </c>
      <c r="G203" s="6"/>
      <c r="H203" s="6"/>
      <c r="I203" s="22"/>
      <c r="J203" s="28" t="s">
        <v>325</v>
      </c>
    </row>
    <row r="204" spans="1:10" s="20" customFormat="1" x14ac:dyDescent="0.25">
      <c r="A204" s="14">
        <v>46091</v>
      </c>
      <c r="B204" s="20" t="s">
        <v>547</v>
      </c>
      <c r="C204" s="6" t="s">
        <v>126</v>
      </c>
      <c r="D204" s="20" t="s">
        <v>406</v>
      </c>
      <c r="E204" s="20" t="s">
        <v>52</v>
      </c>
      <c r="F204" s="6">
        <v>1</v>
      </c>
      <c r="G204" s="6"/>
      <c r="H204" s="6"/>
      <c r="I204" s="22"/>
      <c r="J204" s="28" t="s">
        <v>325</v>
      </c>
    </row>
    <row r="205" spans="1:10" s="20" customFormat="1" x14ac:dyDescent="0.25">
      <c r="A205" s="14">
        <v>46091</v>
      </c>
      <c r="B205" s="20" t="s">
        <v>547</v>
      </c>
      <c r="C205" s="72" t="s">
        <v>159</v>
      </c>
      <c r="D205" s="20" t="s">
        <v>435</v>
      </c>
      <c r="E205" s="94" t="s">
        <v>52</v>
      </c>
      <c r="F205" s="6">
        <v>2</v>
      </c>
      <c r="G205" s="6"/>
      <c r="H205" s="6"/>
      <c r="I205" s="22"/>
      <c r="J205" s="28" t="s">
        <v>325</v>
      </c>
    </row>
    <row r="206" spans="1:10" s="20" customFormat="1" x14ac:dyDescent="0.25">
      <c r="A206" s="14">
        <v>46091</v>
      </c>
      <c r="B206" s="20" t="s">
        <v>547</v>
      </c>
      <c r="C206" s="6" t="s">
        <v>145</v>
      </c>
      <c r="D206" s="20" t="s">
        <v>421</v>
      </c>
      <c r="E206" s="20" t="s">
        <v>52</v>
      </c>
      <c r="F206" s="6">
        <v>2</v>
      </c>
      <c r="G206" s="6"/>
      <c r="H206" s="6"/>
      <c r="I206" s="22"/>
      <c r="J206" s="28" t="s">
        <v>325</v>
      </c>
    </row>
    <row r="207" spans="1:10" s="20" customFormat="1" x14ac:dyDescent="0.25">
      <c r="A207" s="14">
        <v>46091</v>
      </c>
      <c r="B207" s="20" t="s">
        <v>547</v>
      </c>
      <c r="C207" s="6" t="s">
        <v>147</v>
      </c>
      <c r="D207" s="20" t="s">
        <v>423</v>
      </c>
      <c r="E207" s="20" t="s">
        <v>52</v>
      </c>
      <c r="F207" s="6">
        <v>1</v>
      </c>
      <c r="G207" s="6"/>
      <c r="H207" s="6"/>
      <c r="I207" s="22"/>
      <c r="J207" s="28" t="s">
        <v>325</v>
      </c>
    </row>
    <row r="208" spans="1:10" s="20" customFormat="1" x14ac:dyDescent="0.25">
      <c r="A208" s="14">
        <v>46091</v>
      </c>
      <c r="B208" s="20" t="s">
        <v>547</v>
      </c>
      <c r="C208" s="6" t="s">
        <v>176</v>
      </c>
      <c r="D208" s="20" t="s">
        <v>452</v>
      </c>
      <c r="E208" s="20" t="s">
        <v>52</v>
      </c>
      <c r="F208" s="6">
        <v>3</v>
      </c>
      <c r="G208" s="6"/>
      <c r="H208" s="6"/>
      <c r="I208" s="22"/>
      <c r="J208" s="28" t="s">
        <v>325</v>
      </c>
    </row>
    <row r="209" spans="1:10" s="20" customFormat="1" x14ac:dyDescent="0.25">
      <c r="A209" s="14">
        <v>46091</v>
      </c>
      <c r="B209" s="20" t="s">
        <v>547</v>
      </c>
      <c r="C209" s="6" t="s">
        <v>122</v>
      </c>
      <c r="D209" s="20" t="s">
        <v>402</v>
      </c>
      <c r="E209" s="20" t="s">
        <v>52</v>
      </c>
      <c r="F209" s="6">
        <v>4</v>
      </c>
      <c r="G209" s="6"/>
      <c r="H209" s="6"/>
      <c r="I209" s="22"/>
      <c r="J209" s="28" t="s">
        <v>325</v>
      </c>
    </row>
    <row r="210" spans="1:10" s="20" customFormat="1" x14ac:dyDescent="0.25">
      <c r="A210" s="14">
        <v>46091</v>
      </c>
      <c r="B210" s="20" t="s">
        <v>547</v>
      </c>
      <c r="C210" s="6" t="s">
        <v>271</v>
      </c>
      <c r="D210" s="20" t="s">
        <v>457</v>
      </c>
      <c r="E210" s="20" t="s">
        <v>52</v>
      </c>
      <c r="F210" s="6">
        <v>2</v>
      </c>
      <c r="G210" s="6"/>
      <c r="H210" s="6"/>
      <c r="I210" s="22"/>
      <c r="J210" s="28" t="s">
        <v>325</v>
      </c>
    </row>
    <row r="211" spans="1:10" s="20" customFormat="1" x14ac:dyDescent="0.25">
      <c r="A211" s="14">
        <v>46091</v>
      </c>
      <c r="B211" s="20" t="s">
        <v>547</v>
      </c>
      <c r="C211" s="6" t="s">
        <v>133</v>
      </c>
      <c r="D211" s="20" t="s">
        <v>413</v>
      </c>
      <c r="E211" s="20" t="s">
        <v>52</v>
      </c>
      <c r="F211" s="6">
        <v>3</v>
      </c>
      <c r="G211" s="6"/>
      <c r="H211" s="6"/>
      <c r="I211" s="22"/>
      <c r="J211" s="28" t="s">
        <v>325</v>
      </c>
    </row>
    <row r="212" spans="1:10" s="20" customFormat="1" x14ac:dyDescent="0.25">
      <c r="A212" s="14">
        <v>46091</v>
      </c>
      <c r="B212" s="20" t="s">
        <v>547</v>
      </c>
      <c r="C212" s="6" t="s">
        <v>166</v>
      </c>
      <c r="D212" s="20" t="s">
        <v>442</v>
      </c>
      <c r="E212" s="20" t="s">
        <v>52</v>
      </c>
      <c r="F212" s="6">
        <v>1</v>
      </c>
      <c r="G212" s="6"/>
      <c r="H212" s="6"/>
      <c r="I212" s="22"/>
      <c r="J212" s="28" t="s">
        <v>325</v>
      </c>
    </row>
    <row r="213" spans="1:10" s="20" customFormat="1" x14ac:dyDescent="0.25">
      <c r="A213" s="14">
        <v>46091</v>
      </c>
      <c r="B213" s="20" t="s">
        <v>547</v>
      </c>
      <c r="C213" s="6" t="s">
        <v>134</v>
      </c>
      <c r="D213" s="20" t="s">
        <v>414</v>
      </c>
      <c r="E213" s="20" t="s">
        <v>52</v>
      </c>
      <c r="F213" s="6">
        <v>1</v>
      </c>
      <c r="G213" s="6"/>
      <c r="H213" s="6"/>
      <c r="I213" s="22"/>
      <c r="J213" s="28" t="s">
        <v>325</v>
      </c>
    </row>
    <row r="214" spans="1:10" s="20" customFormat="1" x14ac:dyDescent="0.25">
      <c r="A214" s="14">
        <v>46091</v>
      </c>
      <c r="B214" s="20" t="s">
        <v>547</v>
      </c>
      <c r="C214" s="6" t="s">
        <v>136</v>
      </c>
      <c r="D214" s="20" t="s">
        <v>416</v>
      </c>
      <c r="E214" s="20" t="s">
        <v>52</v>
      </c>
      <c r="F214" s="6">
        <v>4</v>
      </c>
      <c r="G214" s="6"/>
      <c r="H214" s="6"/>
      <c r="I214" s="22"/>
      <c r="J214" s="28" t="s">
        <v>325</v>
      </c>
    </row>
    <row r="215" spans="1:10" s="20" customFormat="1" x14ac:dyDescent="0.25">
      <c r="A215" s="14">
        <v>46091</v>
      </c>
      <c r="B215" s="20" t="s">
        <v>547</v>
      </c>
      <c r="C215" s="6" t="s">
        <v>139</v>
      </c>
      <c r="D215" s="20" t="s">
        <v>420</v>
      </c>
      <c r="E215" s="20" t="s">
        <v>52</v>
      </c>
      <c r="F215" s="6">
        <v>3</v>
      </c>
      <c r="G215" s="6"/>
      <c r="H215" s="6"/>
      <c r="I215" s="22"/>
      <c r="J215" s="28" t="s">
        <v>325</v>
      </c>
    </row>
    <row r="216" spans="1:10" s="20" customFormat="1" x14ac:dyDescent="0.25">
      <c r="A216" s="14">
        <v>46091</v>
      </c>
      <c r="B216" s="20" t="s">
        <v>547</v>
      </c>
      <c r="C216" s="6" t="s">
        <v>313</v>
      </c>
      <c r="D216" s="20" t="s">
        <v>460</v>
      </c>
      <c r="E216" s="20" t="s">
        <v>52</v>
      </c>
      <c r="F216" s="6">
        <v>6</v>
      </c>
      <c r="G216" s="6"/>
      <c r="H216" s="6"/>
      <c r="I216" s="22"/>
      <c r="J216" s="28" t="s">
        <v>325</v>
      </c>
    </row>
    <row r="217" spans="1:10" s="20" customFormat="1" x14ac:dyDescent="0.25">
      <c r="A217" s="14">
        <v>46091</v>
      </c>
      <c r="B217" s="20" t="s">
        <v>547</v>
      </c>
      <c r="C217" s="6" t="s">
        <v>149</v>
      </c>
      <c r="D217" s="20" t="s">
        <v>425</v>
      </c>
      <c r="E217" s="20" t="s">
        <v>52</v>
      </c>
      <c r="F217" s="6">
        <v>1</v>
      </c>
      <c r="G217" s="6"/>
      <c r="H217" s="6"/>
      <c r="I217" s="22"/>
      <c r="J217" s="28" t="s">
        <v>325</v>
      </c>
    </row>
    <row r="218" spans="1:10" s="20" customFormat="1" x14ac:dyDescent="0.25">
      <c r="A218" s="14">
        <v>46091</v>
      </c>
      <c r="B218" s="20" t="s">
        <v>547</v>
      </c>
      <c r="C218" s="6" t="s">
        <v>140</v>
      </c>
      <c r="D218" s="20" t="s">
        <v>419</v>
      </c>
      <c r="E218" s="20" t="s">
        <v>52</v>
      </c>
      <c r="F218" s="6">
        <v>4</v>
      </c>
      <c r="G218" s="6"/>
      <c r="H218" s="6"/>
      <c r="I218" s="22"/>
      <c r="J218" s="28" t="s">
        <v>325</v>
      </c>
    </row>
    <row r="219" spans="1:10" s="20" customFormat="1" x14ac:dyDescent="0.25">
      <c r="A219" s="14">
        <v>46091</v>
      </c>
      <c r="B219" s="20" t="s">
        <v>547</v>
      </c>
      <c r="C219" s="6" t="s">
        <v>179</v>
      </c>
      <c r="D219" s="20" t="s">
        <v>455</v>
      </c>
      <c r="E219" s="20" t="s">
        <v>52</v>
      </c>
      <c r="F219" s="6">
        <v>2</v>
      </c>
      <c r="G219" s="6"/>
      <c r="H219" s="6"/>
      <c r="I219" s="22"/>
      <c r="J219" s="28" t="s">
        <v>325</v>
      </c>
    </row>
    <row r="220" spans="1:10" s="20" customFormat="1" x14ac:dyDescent="0.25">
      <c r="A220" s="14">
        <v>46091</v>
      </c>
      <c r="B220" s="20" t="s">
        <v>547</v>
      </c>
      <c r="C220" s="6" t="s">
        <v>142</v>
      </c>
      <c r="D220" s="20" t="s">
        <v>337</v>
      </c>
      <c r="E220" s="20" t="s">
        <v>52</v>
      </c>
      <c r="F220" s="6">
        <v>2</v>
      </c>
      <c r="G220" s="6"/>
      <c r="H220" s="6"/>
      <c r="I220" s="22"/>
      <c r="J220" s="28" t="s">
        <v>325</v>
      </c>
    </row>
    <row r="221" spans="1:10" s="20" customFormat="1" x14ac:dyDescent="0.25">
      <c r="A221" s="14">
        <v>46091</v>
      </c>
      <c r="B221" s="20" t="s">
        <v>547</v>
      </c>
      <c r="C221" s="6" t="s">
        <v>143</v>
      </c>
      <c r="D221" s="20" t="s">
        <v>336</v>
      </c>
      <c r="E221" s="20" t="s">
        <v>52</v>
      </c>
      <c r="F221" s="6">
        <v>1</v>
      </c>
      <c r="G221" s="6"/>
      <c r="H221" s="6"/>
      <c r="I221" s="22"/>
      <c r="J221" s="28" t="s">
        <v>325</v>
      </c>
    </row>
    <row r="222" spans="1:10" s="20" customFormat="1" x14ac:dyDescent="0.25">
      <c r="A222" s="14">
        <v>46091</v>
      </c>
      <c r="B222" s="20" t="s">
        <v>547</v>
      </c>
      <c r="C222" s="6" t="s">
        <v>144</v>
      </c>
      <c r="D222" s="20" t="s">
        <v>335</v>
      </c>
      <c r="E222" s="20" t="s">
        <v>52</v>
      </c>
      <c r="F222" s="6">
        <v>3</v>
      </c>
      <c r="G222" s="6"/>
      <c r="H222" s="6"/>
      <c r="I222" s="22"/>
      <c r="J222" s="28" t="s">
        <v>325</v>
      </c>
    </row>
    <row r="223" spans="1:10" s="20" customFormat="1" x14ac:dyDescent="0.25">
      <c r="A223" s="14">
        <v>46091</v>
      </c>
      <c r="B223" s="20" t="s">
        <v>547</v>
      </c>
      <c r="C223" s="6" t="s">
        <v>180</v>
      </c>
      <c r="D223" s="20" t="s">
        <v>456</v>
      </c>
      <c r="E223" s="20" t="s">
        <v>52</v>
      </c>
      <c r="F223" s="6">
        <v>6</v>
      </c>
      <c r="G223" s="6"/>
      <c r="H223" s="6"/>
      <c r="I223" s="22"/>
      <c r="J223" s="28" t="s">
        <v>325</v>
      </c>
    </row>
    <row r="224" spans="1:10" s="20" customFormat="1" x14ac:dyDescent="0.25">
      <c r="A224" s="14">
        <v>46091</v>
      </c>
      <c r="B224" s="20" t="s">
        <v>547</v>
      </c>
      <c r="C224" s="6" t="s">
        <v>173</v>
      </c>
      <c r="D224" s="20" t="s">
        <v>449</v>
      </c>
      <c r="E224" s="20" t="s">
        <v>52</v>
      </c>
      <c r="F224" s="6">
        <v>8</v>
      </c>
      <c r="G224" s="6"/>
      <c r="H224" s="6"/>
      <c r="I224" s="22"/>
      <c r="J224" s="28" t="s">
        <v>325</v>
      </c>
    </row>
    <row r="225" spans="1:10" s="20" customFormat="1" x14ac:dyDescent="0.25">
      <c r="A225" s="14">
        <v>46091</v>
      </c>
      <c r="B225" s="20" t="s">
        <v>547</v>
      </c>
      <c r="C225" s="6" t="s">
        <v>125</v>
      </c>
      <c r="D225" s="20" t="s">
        <v>405</v>
      </c>
      <c r="E225" s="20" t="s">
        <v>52</v>
      </c>
      <c r="F225" s="6">
        <v>3</v>
      </c>
      <c r="G225" s="6"/>
      <c r="H225" s="6"/>
      <c r="I225" s="22"/>
      <c r="J225" s="28" t="s">
        <v>325</v>
      </c>
    </row>
    <row r="226" spans="1:10" s="20" customFormat="1" x14ac:dyDescent="0.25">
      <c r="A226" s="14">
        <v>46091</v>
      </c>
      <c r="B226" s="3" t="s">
        <v>561</v>
      </c>
      <c r="C226" s="4" t="s">
        <v>140</v>
      </c>
      <c r="D226" s="20" t="s">
        <v>419</v>
      </c>
      <c r="E226" s="3" t="s">
        <v>52</v>
      </c>
      <c r="F226" s="4">
        <v>1</v>
      </c>
      <c r="G226" s="6"/>
      <c r="H226" s="4"/>
      <c r="I226" s="22"/>
      <c r="J226" s="28" t="s">
        <v>325</v>
      </c>
    </row>
    <row r="227" spans="1:10" s="20" customFormat="1" x14ac:dyDescent="0.25">
      <c r="A227" s="14">
        <v>46091</v>
      </c>
      <c r="B227" s="93" t="s">
        <v>338</v>
      </c>
      <c r="C227" s="7" t="s">
        <v>140</v>
      </c>
      <c r="D227" s="93" t="s">
        <v>419</v>
      </c>
      <c r="E227" s="93" t="s">
        <v>52</v>
      </c>
      <c r="F227" s="7">
        <v>1</v>
      </c>
      <c r="G227" s="7"/>
      <c r="H227" s="7"/>
      <c r="I227" s="24"/>
      <c r="J227" s="29"/>
    </row>
    <row r="228" spans="1:10" s="20" customFormat="1" x14ac:dyDescent="0.25">
      <c r="A228" s="14">
        <v>46091</v>
      </c>
      <c r="B228" s="20" t="s">
        <v>580</v>
      </c>
      <c r="C228" s="6" t="s">
        <v>178</v>
      </c>
      <c r="D228" s="20" t="s">
        <v>454</v>
      </c>
      <c r="E228" s="20" t="s">
        <v>52</v>
      </c>
      <c r="F228" s="6">
        <v>1</v>
      </c>
      <c r="G228" s="6"/>
      <c r="H228" s="6"/>
      <c r="I228" s="22"/>
      <c r="J228" s="28" t="s">
        <v>325</v>
      </c>
    </row>
    <row r="229" spans="1:10" s="20" customFormat="1" x14ac:dyDescent="0.25">
      <c r="A229" s="14">
        <v>46091</v>
      </c>
      <c r="B229" s="20" t="s">
        <v>580</v>
      </c>
      <c r="C229" s="6" t="s">
        <v>170</v>
      </c>
      <c r="D229" s="20" t="s">
        <v>446</v>
      </c>
      <c r="E229" s="20" t="s">
        <v>52</v>
      </c>
      <c r="F229" s="6">
        <v>2</v>
      </c>
      <c r="G229" s="6"/>
      <c r="H229" s="6"/>
      <c r="I229" s="22"/>
      <c r="J229" s="28" t="s">
        <v>325</v>
      </c>
    </row>
    <row r="230" spans="1:10" s="20" customFormat="1" x14ac:dyDescent="0.25">
      <c r="A230" s="14">
        <v>46091</v>
      </c>
      <c r="B230" s="93" t="s">
        <v>581</v>
      </c>
      <c r="C230" s="7" t="s">
        <v>160</v>
      </c>
      <c r="D230" s="93" t="s">
        <v>436</v>
      </c>
      <c r="E230" s="93" t="s">
        <v>52</v>
      </c>
      <c r="F230" s="7">
        <v>1</v>
      </c>
      <c r="G230" s="7"/>
      <c r="H230" s="7"/>
      <c r="I230" s="24"/>
      <c r="J230" s="29"/>
    </row>
    <row r="231" spans="1:10" s="20" customFormat="1" x14ac:dyDescent="0.25">
      <c r="A231" s="14">
        <v>46091</v>
      </c>
      <c r="B231" s="93" t="s">
        <v>581</v>
      </c>
      <c r="C231" s="7" t="s">
        <v>133</v>
      </c>
      <c r="D231" s="93" t="s">
        <v>413</v>
      </c>
      <c r="E231" s="93" t="s">
        <v>52</v>
      </c>
      <c r="F231" s="7">
        <v>1</v>
      </c>
      <c r="G231" s="7"/>
      <c r="H231" s="7"/>
      <c r="I231" s="24"/>
      <c r="J231" s="29"/>
    </row>
    <row r="232" spans="1:10" s="20" customFormat="1" x14ac:dyDescent="0.25">
      <c r="A232" s="14">
        <v>46091</v>
      </c>
      <c r="B232" s="93" t="s">
        <v>581</v>
      </c>
      <c r="C232" s="7" t="s">
        <v>139</v>
      </c>
      <c r="D232" s="93" t="s">
        <v>420</v>
      </c>
      <c r="E232" s="93" t="s">
        <v>52</v>
      </c>
      <c r="F232" s="7">
        <v>1</v>
      </c>
      <c r="G232" s="7"/>
      <c r="H232" s="7"/>
      <c r="I232" s="24"/>
      <c r="J232" s="29"/>
    </row>
    <row r="233" spans="1:10" s="20" customFormat="1" x14ac:dyDescent="0.25">
      <c r="A233" s="14">
        <v>46091</v>
      </c>
      <c r="B233" s="20" t="s">
        <v>546</v>
      </c>
      <c r="C233" s="6" t="s">
        <v>170</v>
      </c>
      <c r="D233" s="20" t="s">
        <v>446</v>
      </c>
      <c r="E233" s="20" t="s">
        <v>52</v>
      </c>
      <c r="F233" s="6">
        <v>1</v>
      </c>
      <c r="G233" s="6"/>
      <c r="H233" s="6"/>
      <c r="I233" s="22"/>
      <c r="J233" s="28" t="s">
        <v>325</v>
      </c>
    </row>
    <row r="234" spans="1:10" s="20" customFormat="1" x14ac:dyDescent="0.25">
      <c r="A234" s="14">
        <v>46091</v>
      </c>
      <c r="B234" s="93" t="s">
        <v>338</v>
      </c>
      <c r="C234" s="7" t="s">
        <v>57</v>
      </c>
      <c r="D234" s="93" t="s">
        <v>11</v>
      </c>
      <c r="E234" s="93" t="s">
        <v>13</v>
      </c>
      <c r="F234" s="7">
        <v>1</v>
      </c>
      <c r="G234" s="7"/>
      <c r="H234" s="7"/>
      <c r="I234" s="24"/>
      <c r="J234" s="29"/>
    </row>
    <row r="235" spans="1:10" s="20" customFormat="1" x14ac:dyDescent="0.25">
      <c r="A235" s="14">
        <v>46091</v>
      </c>
      <c r="B235" s="3" t="s">
        <v>561</v>
      </c>
      <c r="C235" s="4" t="s">
        <v>259</v>
      </c>
      <c r="D235" s="20" t="s">
        <v>49</v>
      </c>
      <c r="E235" s="3" t="s">
        <v>50</v>
      </c>
      <c r="F235" s="4">
        <v>1</v>
      </c>
      <c r="G235" s="4"/>
      <c r="H235" s="4"/>
      <c r="I235" s="22"/>
      <c r="J235" s="28" t="s">
        <v>325</v>
      </c>
    </row>
    <row r="236" spans="1:10" s="20" customFormat="1" x14ac:dyDescent="0.25">
      <c r="A236" s="14">
        <v>46091</v>
      </c>
      <c r="B236" s="20" t="s">
        <v>580</v>
      </c>
      <c r="C236" s="6" t="s">
        <v>253</v>
      </c>
      <c r="D236" s="20" t="s">
        <v>43</v>
      </c>
      <c r="E236" s="20" t="s">
        <v>50</v>
      </c>
      <c r="F236" s="6">
        <v>2</v>
      </c>
      <c r="G236" s="6"/>
      <c r="H236" s="6"/>
      <c r="I236" s="22"/>
      <c r="J236" s="28" t="s">
        <v>325</v>
      </c>
    </row>
    <row r="237" spans="1:10" s="20" customFormat="1" x14ac:dyDescent="0.25">
      <c r="A237" s="14">
        <v>46091</v>
      </c>
      <c r="B237" s="20" t="s">
        <v>580</v>
      </c>
      <c r="C237" s="6" t="s">
        <v>249</v>
      </c>
      <c r="D237" s="20" t="s">
        <v>39</v>
      </c>
      <c r="E237" s="20" t="s">
        <v>50</v>
      </c>
      <c r="F237" s="6">
        <v>1</v>
      </c>
      <c r="G237" s="6"/>
      <c r="H237" s="6"/>
      <c r="I237" s="22"/>
      <c r="J237" s="28" t="s">
        <v>325</v>
      </c>
    </row>
    <row r="238" spans="1:10" x14ac:dyDescent="0.25">
      <c r="A238" s="14">
        <v>46091</v>
      </c>
      <c r="B238" s="20" t="s">
        <v>580</v>
      </c>
      <c r="C238" s="6" t="s">
        <v>266</v>
      </c>
      <c r="D238" s="20" t="s">
        <v>261</v>
      </c>
      <c r="E238" s="20" t="s">
        <v>50</v>
      </c>
      <c r="F238" s="6">
        <v>1</v>
      </c>
      <c r="G238" s="6"/>
      <c r="H238" s="6"/>
      <c r="I238" s="22"/>
      <c r="J238" s="28" t="s">
        <v>325</v>
      </c>
    </row>
    <row r="239" spans="1:10" x14ac:dyDescent="0.25">
      <c r="A239" s="14">
        <v>46091</v>
      </c>
      <c r="B239" s="20" t="s">
        <v>580</v>
      </c>
      <c r="C239" s="6" t="s">
        <v>259</v>
      </c>
      <c r="D239" s="20" t="s">
        <v>49</v>
      </c>
      <c r="E239" s="20" t="s">
        <v>50</v>
      </c>
      <c r="F239" s="6">
        <v>2</v>
      </c>
      <c r="G239" s="6"/>
      <c r="H239" s="6"/>
      <c r="I239" s="22"/>
      <c r="J239" s="28" t="s">
        <v>325</v>
      </c>
    </row>
    <row r="240" spans="1:10" s="20" customFormat="1" x14ac:dyDescent="0.25">
      <c r="A240" s="14">
        <v>46092</v>
      </c>
      <c r="B240" s="20" t="s">
        <v>570</v>
      </c>
      <c r="C240" s="6" t="s">
        <v>226</v>
      </c>
      <c r="D240" s="20" t="s">
        <v>508</v>
      </c>
      <c r="E240" s="20" t="s">
        <v>51</v>
      </c>
      <c r="F240" s="6">
        <v>1</v>
      </c>
      <c r="G240" s="6"/>
      <c r="H240" s="6"/>
      <c r="I240" s="22"/>
      <c r="J240" s="28" t="s">
        <v>325</v>
      </c>
    </row>
    <row r="241" spans="1:10" s="20" customFormat="1" x14ac:dyDescent="0.25">
      <c r="A241" s="14">
        <v>46092</v>
      </c>
      <c r="B241" s="20" t="s">
        <v>583</v>
      </c>
      <c r="C241" s="6" t="s">
        <v>191</v>
      </c>
      <c r="D241" s="20" t="s">
        <v>473</v>
      </c>
      <c r="E241" s="20" t="s">
        <v>51</v>
      </c>
      <c r="F241" s="6">
        <v>1</v>
      </c>
      <c r="G241" s="6"/>
      <c r="H241" s="6"/>
      <c r="I241" s="22"/>
      <c r="J241" s="28" t="s">
        <v>325</v>
      </c>
    </row>
    <row r="242" spans="1:10" s="20" customFormat="1" x14ac:dyDescent="0.25">
      <c r="A242" s="14">
        <v>46092</v>
      </c>
      <c r="B242" s="93" t="s">
        <v>527</v>
      </c>
      <c r="C242" s="7" t="s">
        <v>197</v>
      </c>
      <c r="D242" s="93" t="s">
        <v>479</v>
      </c>
      <c r="E242" s="93" t="s">
        <v>51</v>
      </c>
      <c r="F242" s="7">
        <v>1</v>
      </c>
      <c r="G242" s="7"/>
      <c r="H242" s="7"/>
      <c r="I242" s="24"/>
      <c r="J242" s="29"/>
    </row>
    <row r="243" spans="1:10" s="20" customFormat="1" x14ac:dyDescent="0.25">
      <c r="A243" s="14">
        <v>46092</v>
      </c>
      <c r="B243" s="93" t="s">
        <v>527</v>
      </c>
      <c r="C243" s="7" t="s">
        <v>202</v>
      </c>
      <c r="D243" s="93" t="s">
        <v>484</v>
      </c>
      <c r="E243" s="93" t="s">
        <v>51</v>
      </c>
      <c r="F243" s="7">
        <v>1</v>
      </c>
      <c r="G243" s="7"/>
      <c r="H243" s="7"/>
      <c r="I243" s="24"/>
      <c r="J243" s="29"/>
    </row>
    <row r="244" spans="1:10" s="20" customFormat="1" x14ac:dyDescent="0.25">
      <c r="A244" s="14">
        <v>46092</v>
      </c>
      <c r="B244" s="20" t="s">
        <v>570</v>
      </c>
      <c r="C244" s="6" t="s">
        <v>154</v>
      </c>
      <c r="D244" s="20" t="s">
        <v>430</v>
      </c>
      <c r="E244" s="20" t="s">
        <v>52</v>
      </c>
      <c r="F244" s="6">
        <v>1</v>
      </c>
      <c r="G244" s="6"/>
      <c r="H244" s="6"/>
      <c r="I244" s="22"/>
      <c r="J244" s="28" t="s">
        <v>325</v>
      </c>
    </row>
    <row r="245" spans="1:10" s="20" customFormat="1" x14ac:dyDescent="0.25">
      <c r="A245" s="14">
        <v>46092</v>
      </c>
      <c r="B245" s="93" t="s">
        <v>338</v>
      </c>
      <c r="C245" s="7" t="s">
        <v>269</v>
      </c>
      <c r="D245" s="93" t="s">
        <v>400</v>
      </c>
      <c r="E245" s="93" t="s">
        <v>52</v>
      </c>
      <c r="F245" s="7">
        <v>1</v>
      </c>
      <c r="G245" s="7"/>
      <c r="H245" s="7"/>
      <c r="I245" s="24"/>
      <c r="J245" s="29"/>
    </row>
    <row r="246" spans="1:10" s="20" customFormat="1" x14ac:dyDescent="0.25">
      <c r="A246" s="14">
        <v>46092</v>
      </c>
      <c r="B246" s="93" t="s">
        <v>338</v>
      </c>
      <c r="C246" s="7" t="s">
        <v>133</v>
      </c>
      <c r="D246" s="93" t="s">
        <v>413</v>
      </c>
      <c r="E246" s="93" t="s">
        <v>52</v>
      </c>
      <c r="F246" s="7">
        <v>1</v>
      </c>
      <c r="G246" s="7"/>
      <c r="H246" s="7"/>
      <c r="I246" s="24"/>
      <c r="J246" s="29"/>
    </row>
    <row r="247" spans="1:10" s="20" customFormat="1" x14ac:dyDescent="0.25">
      <c r="A247" s="14">
        <v>46092</v>
      </c>
      <c r="B247" s="93" t="s">
        <v>338</v>
      </c>
      <c r="C247" s="7" t="s">
        <v>130</v>
      </c>
      <c r="D247" s="93" t="s">
        <v>410</v>
      </c>
      <c r="E247" s="93" t="s">
        <v>52</v>
      </c>
      <c r="F247" s="7">
        <v>1</v>
      </c>
      <c r="G247" s="7"/>
      <c r="H247" s="7"/>
      <c r="I247" s="24"/>
      <c r="J247" s="29"/>
    </row>
    <row r="248" spans="1:10" s="20" customFormat="1" x14ac:dyDescent="0.25">
      <c r="A248" s="14">
        <v>46092</v>
      </c>
      <c r="B248" s="93" t="s">
        <v>338</v>
      </c>
      <c r="C248" s="7" t="s">
        <v>152</v>
      </c>
      <c r="D248" s="93" t="s">
        <v>428</v>
      </c>
      <c r="E248" s="93" t="s">
        <v>52</v>
      </c>
      <c r="F248" s="7">
        <v>1</v>
      </c>
      <c r="G248" s="7"/>
      <c r="H248" s="7"/>
      <c r="I248" s="24"/>
      <c r="J248" s="29"/>
    </row>
    <row r="249" spans="1:10" s="20" customFormat="1" x14ac:dyDescent="0.25">
      <c r="A249" s="14">
        <v>46092</v>
      </c>
      <c r="B249" s="93" t="s">
        <v>338</v>
      </c>
      <c r="C249" s="7" t="s">
        <v>122</v>
      </c>
      <c r="D249" s="93" t="s">
        <v>402</v>
      </c>
      <c r="E249" s="93" t="s">
        <v>52</v>
      </c>
      <c r="F249" s="7">
        <v>1</v>
      </c>
      <c r="G249" s="7"/>
      <c r="H249" s="7"/>
      <c r="I249" s="24"/>
      <c r="J249" s="29"/>
    </row>
    <row r="250" spans="1:10" s="20" customFormat="1" x14ac:dyDescent="0.25">
      <c r="A250" s="14">
        <v>46092</v>
      </c>
      <c r="B250" s="93" t="s">
        <v>338</v>
      </c>
      <c r="C250" s="7" t="s">
        <v>137</v>
      </c>
      <c r="D250" s="93" t="s">
        <v>417</v>
      </c>
      <c r="E250" s="93" t="s">
        <v>52</v>
      </c>
      <c r="F250" s="7">
        <v>1</v>
      </c>
      <c r="G250" s="7"/>
      <c r="H250" s="7"/>
      <c r="I250" s="24"/>
      <c r="J250" s="29"/>
    </row>
    <row r="251" spans="1:10" s="20" customFormat="1" x14ac:dyDescent="0.25">
      <c r="A251" s="14">
        <v>46092</v>
      </c>
      <c r="B251" s="20" t="s">
        <v>582</v>
      </c>
      <c r="C251" s="6" t="s">
        <v>169</v>
      </c>
      <c r="D251" s="20" t="s">
        <v>445</v>
      </c>
      <c r="E251" s="20" t="s">
        <v>52</v>
      </c>
      <c r="F251" s="6">
        <v>2</v>
      </c>
      <c r="G251" s="6"/>
      <c r="H251" s="6"/>
      <c r="I251" s="22"/>
      <c r="J251" s="28" t="s">
        <v>325</v>
      </c>
    </row>
    <row r="252" spans="1:10" s="20" customFormat="1" x14ac:dyDescent="0.25">
      <c r="A252" s="14">
        <v>46092</v>
      </c>
      <c r="B252" s="20" t="s">
        <v>582</v>
      </c>
      <c r="C252" s="6" t="s">
        <v>136</v>
      </c>
      <c r="D252" s="20" t="s">
        <v>416</v>
      </c>
      <c r="E252" s="20" t="s">
        <v>52</v>
      </c>
      <c r="F252" s="6">
        <v>2</v>
      </c>
      <c r="G252" s="6"/>
      <c r="H252" s="6"/>
      <c r="I252" s="22"/>
      <c r="J252" s="28" t="s">
        <v>325</v>
      </c>
    </row>
    <row r="253" spans="1:10" s="20" customFormat="1" x14ac:dyDescent="0.25">
      <c r="A253" s="14">
        <v>46092</v>
      </c>
      <c r="B253" s="20" t="s">
        <v>582</v>
      </c>
      <c r="C253" s="6" t="s">
        <v>151</v>
      </c>
      <c r="D253" s="20" t="s">
        <v>427</v>
      </c>
      <c r="E253" s="20" t="s">
        <v>52</v>
      </c>
      <c r="F253" s="6">
        <v>2</v>
      </c>
      <c r="G253" s="6"/>
      <c r="H253" s="6"/>
      <c r="I253" s="22"/>
      <c r="J253" s="28" t="s">
        <v>325</v>
      </c>
    </row>
    <row r="254" spans="1:10" s="20" customFormat="1" x14ac:dyDescent="0.25">
      <c r="A254" s="14">
        <v>46092</v>
      </c>
      <c r="B254" s="20" t="s">
        <v>582</v>
      </c>
      <c r="C254" s="6" t="s">
        <v>157</v>
      </c>
      <c r="D254" s="20" t="s">
        <v>433</v>
      </c>
      <c r="E254" s="20" t="s">
        <v>52</v>
      </c>
      <c r="F254" s="6">
        <v>1</v>
      </c>
      <c r="G254" s="6"/>
      <c r="H254" s="6"/>
      <c r="I254" s="22"/>
      <c r="J254" s="28" t="s">
        <v>325</v>
      </c>
    </row>
    <row r="255" spans="1:10" s="20" customFormat="1" x14ac:dyDescent="0.25">
      <c r="A255" s="14">
        <v>46092</v>
      </c>
      <c r="B255" s="20" t="s">
        <v>582</v>
      </c>
      <c r="C255" s="6" t="s">
        <v>134</v>
      </c>
      <c r="D255" s="20" t="s">
        <v>414</v>
      </c>
      <c r="E255" s="20" t="s">
        <v>52</v>
      </c>
      <c r="F255" s="6">
        <v>1</v>
      </c>
      <c r="G255" s="6"/>
      <c r="H255" s="6"/>
      <c r="I255" s="22"/>
      <c r="J255" s="28" t="s">
        <v>325</v>
      </c>
    </row>
    <row r="256" spans="1:10" s="20" customFormat="1" x14ac:dyDescent="0.25">
      <c r="A256" s="14">
        <v>46092</v>
      </c>
      <c r="B256" s="93" t="s">
        <v>527</v>
      </c>
      <c r="C256" s="7" t="s">
        <v>160</v>
      </c>
      <c r="D256" s="93" t="s">
        <v>436</v>
      </c>
      <c r="E256" s="93" t="s">
        <v>52</v>
      </c>
      <c r="F256" s="7">
        <v>1</v>
      </c>
      <c r="G256" s="7"/>
      <c r="H256" s="7"/>
      <c r="I256" s="24"/>
      <c r="J256" s="29"/>
    </row>
    <row r="257" spans="1:10" s="20" customFormat="1" x14ac:dyDescent="0.25">
      <c r="A257" s="14">
        <v>46092</v>
      </c>
      <c r="B257" s="93" t="s">
        <v>527</v>
      </c>
      <c r="C257" s="7" t="s">
        <v>169</v>
      </c>
      <c r="D257" s="93" t="s">
        <v>445</v>
      </c>
      <c r="E257" s="93" t="s">
        <v>52</v>
      </c>
      <c r="F257" s="7">
        <v>2</v>
      </c>
      <c r="G257" s="7"/>
      <c r="H257" s="7"/>
      <c r="I257" s="24"/>
      <c r="J257" s="29"/>
    </row>
    <row r="258" spans="1:10" s="20" customFormat="1" x14ac:dyDescent="0.25">
      <c r="A258" s="14">
        <v>46092</v>
      </c>
      <c r="B258" s="93" t="s">
        <v>527</v>
      </c>
      <c r="C258" s="7" t="s">
        <v>164</v>
      </c>
      <c r="D258" s="93" t="s">
        <v>440</v>
      </c>
      <c r="E258" s="93" t="s">
        <v>52</v>
      </c>
      <c r="F258" s="7">
        <v>2</v>
      </c>
      <c r="G258" s="7"/>
      <c r="H258" s="7"/>
      <c r="I258" s="24"/>
      <c r="J258" s="29"/>
    </row>
    <row r="259" spans="1:10" s="20" customFormat="1" x14ac:dyDescent="0.25">
      <c r="A259" s="14">
        <v>46092</v>
      </c>
      <c r="B259" s="93" t="s">
        <v>527</v>
      </c>
      <c r="C259" s="7" t="s">
        <v>140</v>
      </c>
      <c r="D259" s="93" t="s">
        <v>419</v>
      </c>
      <c r="E259" s="93" t="s">
        <v>52</v>
      </c>
      <c r="F259" s="7">
        <v>2</v>
      </c>
      <c r="G259" s="7"/>
      <c r="H259" s="7"/>
      <c r="I259" s="24"/>
      <c r="J259" s="29"/>
    </row>
    <row r="260" spans="1:10" s="20" customFormat="1" x14ac:dyDescent="0.25">
      <c r="A260" s="14">
        <v>46092</v>
      </c>
      <c r="B260" s="93" t="s">
        <v>527</v>
      </c>
      <c r="C260" s="7" t="s">
        <v>157</v>
      </c>
      <c r="D260" s="93" t="s">
        <v>433</v>
      </c>
      <c r="E260" s="93" t="s">
        <v>52</v>
      </c>
      <c r="F260" s="7">
        <v>2</v>
      </c>
      <c r="G260" s="7"/>
      <c r="H260" s="7"/>
      <c r="I260" s="24"/>
      <c r="J260" s="29"/>
    </row>
    <row r="261" spans="1:10" s="20" customFormat="1" x14ac:dyDescent="0.25">
      <c r="A261" s="14">
        <v>46092</v>
      </c>
      <c r="B261" s="93" t="s">
        <v>527</v>
      </c>
      <c r="C261" s="7" t="s">
        <v>144</v>
      </c>
      <c r="D261" s="93" t="s">
        <v>335</v>
      </c>
      <c r="E261" s="93" t="s">
        <v>52</v>
      </c>
      <c r="F261" s="7">
        <v>2</v>
      </c>
      <c r="G261" s="7"/>
      <c r="H261" s="7"/>
      <c r="I261" s="24"/>
      <c r="J261" s="29"/>
    </row>
    <row r="262" spans="1:10" s="20" customFormat="1" x14ac:dyDescent="0.25">
      <c r="A262" s="14">
        <v>46092</v>
      </c>
      <c r="B262" s="93" t="s">
        <v>527</v>
      </c>
      <c r="C262" s="7" t="s">
        <v>60</v>
      </c>
      <c r="D262" s="93" t="s">
        <v>15</v>
      </c>
      <c r="E262" s="93" t="s">
        <v>549</v>
      </c>
      <c r="F262" s="7">
        <v>1</v>
      </c>
      <c r="G262" s="7"/>
      <c r="H262" s="7"/>
      <c r="I262" s="24"/>
      <c r="J262" s="29"/>
    </row>
    <row r="263" spans="1:10" s="20" customFormat="1" x14ac:dyDescent="0.25">
      <c r="A263" s="14">
        <v>46092</v>
      </c>
      <c r="B263" s="93" t="s">
        <v>527</v>
      </c>
      <c r="C263" s="7" t="s">
        <v>59</v>
      </c>
      <c r="D263" s="93" t="s">
        <v>14</v>
      </c>
      <c r="E263" s="93" t="s">
        <v>549</v>
      </c>
      <c r="F263" s="7">
        <v>1</v>
      </c>
      <c r="G263" s="7"/>
      <c r="H263" s="7"/>
      <c r="I263" s="24"/>
      <c r="J263" s="29"/>
    </row>
    <row r="264" spans="1:10" s="20" customFormat="1" x14ac:dyDescent="0.25">
      <c r="A264" s="14">
        <v>46092</v>
      </c>
      <c r="B264" s="93" t="s">
        <v>338</v>
      </c>
      <c r="C264" s="7" t="s">
        <v>240</v>
      </c>
      <c r="D264" s="93" t="s">
        <v>525</v>
      </c>
      <c r="E264" s="93" t="s">
        <v>50</v>
      </c>
      <c r="F264" s="7">
        <v>1</v>
      </c>
      <c r="G264" s="7"/>
      <c r="H264" s="7"/>
      <c r="I264" s="24"/>
      <c r="J264" s="29"/>
    </row>
    <row r="265" spans="1:10" s="20" customFormat="1" x14ac:dyDescent="0.25">
      <c r="A265" s="14">
        <v>46092</v>
      </c>
      <c r="B265" s="93" t="s">
        <v>527</v>
      </c>
      <c r="C265" s="7" t="s">
        <v>249</v>
      </c>
      <c r="D265" s="93" t="s">
        <v>39</v>
      </c>
      <c r="E265" s="93" t="s">
        <v>50</v>
      </c>
      <c r="F265" s="7">
        <v>1</v>
      </c>
      <c r="G265" s="7"/>
      <c r="H265" s="7"/>
      <c r="I265" s="24"/>
      <c r="J265" s="29"/>
    </row>
    <row r="266" spans="1:10" s="20" customFormat="1" x14ac:dyDescent="0.25">
      <c r="A266" s="14">
        <v>46092</v>
      </c>
      <c r="B266" s="93" t="s">
        <v>527</v>
      </c>
      <c r="C266" s="7" t="s">
        <v>259</v>
      </c>
      <c r="D266" s="93" t="s">
        <v>49</v>
      </c>
      <c r="E266" s="93" t="s">
        <v>50</v>
      </c>
      <c r="F266" s="7">
        <v>1</v>
      </c>
      <c r="G266" s="7"/>
      <c r="H266" s="7"/>
      <c r="I266" s="24"/>
      <c r="J266" s="29"/>
    </row>
    <row r="267" spans="1:10" s="20" customFormat="1" x14ac:dyDescent="0.25">
      <c r="A267" s="14">
        <v>46093</v>
      </c>
      <c r="B267" s="20" t="s">
        <v>547</v>
      </c>
      <c r="C267" s="6" t="s">
        <v>236</v>
      </c>
      <c r="D267" s="20" t="s">
        <v>518</v>
      </c>
      <c r="E267" s="20" t="s">
        <v>51</v>
      </c>
      <c r="F267" s="6">
        <v>1</v>
      </c>
      <c r="G267" s="6"/>
      <c r="H267" s="6"/>
      <c r="I267" s="22"/>
      <c r="J267" s="28" t="s">
        <v>325</v>
      </c>
    </row>
    <row r="268" spans="1:10" s="20" customFormat="1" x14ac:dyDescent="0.25">
      <c r="A268" s="14">
        <v>46093</v>
      </c>
      <c r="B268" s="20" t="s">
        <v>547</v>
      </c>
      <c r="C268" s="6" t="s">
        <v>227</v>
      </c>
      <c r="D268" s="20" t="s">
        <v>509</v>
      </c>
      <c r="E268" s="20" t="s">
        <v>51</v>
      </c>
      <c r="F268" s="6">
        <v>1</v>
      </c>
      <c r="G268" s="6"/>
      <c r="H268" s="6"/>
      <c r="I268" s="22"/>
      <c r="J268" s="28" t="s">
        <v>325</v>
      </c>
    </row>
    <row r="269" spans="1:10" s="20" customFormat="1" x14ac:dyDescent="0.25">
      <c r="A269" s="14">
        <v>46093</v>
      </c>
      <c r="B269" s="20" t="s">
        <v>547</v>
      </c>
      <c r="C269" s="6" t="s">
        <v>198</v>
      </c>
      <c r="D269" s="20" t="s">
        <v>480</v>
      </c>
      <c r="E269" s="20" t="s">
        <v>51</v>
      </c>
      <c r="F269" s="6">
        <v>1</v>
      </c>
      <c r="G269" s="6"/>
      <c r="H269" s="6"/>
      <c r="I269" s="22"/>
      <c r="J269" s="28" t="s">
        <v>325</v>
      </c>
    </row>
    <row r="270" spans="1:10" s="20" customFormat="1" x14ac:dyDescent="0.25">
      <c r="A270" s="14">
        <v>46093</v>
      </c>
      <c r="B270" s="93" t="s">
        <v>557</v>
      </c>
      <c r="C270" s="7" t="s">
        <v>217</v>
      </c>
      <c r="D270" s="93" t="s">
        <v>499</v>
      </c>
      <c r="E270" s="93" t="s">
        <v>51</v>
      </c>
      <c r="F270" s="7">
        <v>1</v>
      </c>
      <c r="G270" s="7"/>
      <c r="H270" s="7"/>
      <c r="I270" s="24"/>
      <c r="J270" s="29"/>
    </row>
    <row r="271" spans="1:10" s="20" customFormat="1" x14ac:dyDescent="0.25">
      <c r="A271" s="14">
        <v>46093</v>
      </c>
      <c r="B271" s="93" t="s">
        <v>563</v>
      </c>
      <c r="C271" s="7" t="s">
        <v>214</v>
      </c>
      <c r="D271" s="93" t="s">
        <v>496</v>
      </c>
      <c r="E271" s="93" t="s">
        <v>51</v>
      </c>
      <c r="F271" s="7">
        <v>1</v>
      </c>
      <c r="G271" s="7"/>
      <c r="H271" s="7"/>
      <c r="I271" s="24"/>
      <c r="J271" s="29"/>
    </row>
    <row r="272" spans="1:10" s="20" customFormat="1" x14ac:dyDescent="0.25">
      <c r="A272" s="14">
        <v>46093</v>
      </c>
      <c r="B272" s="93" t="s">
        <v>563</v>
      </c>
      <c r="C272" s="7" t="s">
        <v>220</v>
      </c>
      <c r="D272" s="93" t="s">
        <v>502</v>
      </c>
      <c r="E272" s="93" t="s">
        <v>51</v>
      </c>
      <c r="F272" s="7">
        <v>1</v>
      </c>
      <c r="G272" s="7"/>
      <c r="H272" s="7"/>
      <c r="I272" s="24"/>
      <c r="J272" s="29"/>
    </row>
    <row r="273" spans="1:10" s="20" customFormat="1" x14ac:dyDescent="0.25">
      <c r="A273" s="14">
        <v>46093</v>
      </c>
      <c r="B273" s="20" t="s">
        <v>528</v>
      </c>
      <c r="C273" s="6" t="s">
        <v>198</v>
      </c>
      <c r="D273" s="20" t="s">
        <v>480</v>
      </c>
      <c r="E273" s="20" t="s">
        <v>51</v>
      </c>
      <c r="F273" s="6">
        <v>1</v>
      </c>
      <c r="G273" s="6"/>
      <c r="H273" s="6"/>
      <c r="I273" s="22"/>
      <c r="J273" s="28" t="s">
        <v>325</v>
      </c>
    </row>
    <row r="274" spans="1:10" s="20" customFormat="1" x14ac:dyDescent="0.25">
      <c r="A274" s="14">
        <v>46093</v>
      </c>
      <c r="B274" s="20" t="s">
        <v>547</v>
      </c>
      <c r="C274" s="6" t="s">
        <v>173</v>
      </c>
      <c r="D274" s="20" t="s">
        <v>449</v>
      </c>
      <c r="E274" s="20" t="s">
        <v>52</v>
      </c>
      <c r="F274" s="6">
        <v>5</v>
      </c>
      <c r="G274" s="6"/>
      <c r="H274" s="6"/>
      <c r="I274" s="22"/>
      <c r="J274" s="28" t="s">
        <v>325</v>
      </c>
    </row>
    <row r="275" spans="1:10" s="20" customFormat="1" x14ac:dyDescent="0.25">
      <c r="A275" s="14">
        <v>46093</v>
      </c>
      <c r="B275" s="20" t="s">
        <v>547</v>
      </c>
      <c r="C275" s="6" t="s">
        <v>179</v>
      </c>
      <c r="D275" s="20" t="s">
        <v>455</v>
      </c>
      <c r="E275" s="20" t="s">
        <v>52</v>
      </c>
      <c r="F275" s="6">
        <v>5</v>
      </c>
      <c r="G275" s="6"/>
      <c r="H275" s="6"/>
      <c r="I275" s="22"/>
      <c r="J275" s="28" t="s">
        <v>325</v>
      </c>
    </row>
    <row r="276" spans="1:10" s="20" customFormat="1" x14ac:dyDescent="0.25">
      <c r="A276" s="14">
        <v>46093</v>
      </c>
      <c r="B276" s="20" t="s">
        <v>547</v>
      </c>
      <c r="C276" s="6" t="s">
        <v>125</v>
      </c>
      <c r="D276" s="20" t="s">
        <v>405</v>
      </c>
      <c r="E276" s="20" t="s">
        <v>52</v>
      </c>
      <c r="F276" s="6">
        <v>3</v>
      </c>
      <c r="G276" s="6"/>
      <c r="H276" s="6"/>
      <c r="I276" s="22"/>
      <c r="J276" s="28" t="s">
        <v>325</v>
      </c>
    </row>
    <row r="277" spans="1:10" s="20" customFormat="1" x14ac:dyDescent="0.25">
      <c r="A277" s="14">
        <v>46093</v>
      </c>
      <c r="B277" s="93" t="s">
        <v>563</v>
      </c>
      <c r="C277" s="7" t="s">
        <v>161</v>
      </c>
      <c r="D277" s="93" t="s">
        <v>437</v>
      </c>
      <c r="E277" s="93" t="s">
        <v>52</v>
      </c>
      <c r="F277" s="7">
        <v>2</v>
      </c>
      <c r="G277" s="7"/>
      <c r="H277" s="7"/>
      <c r="I277" s="24"/>
      <c r="J277" s="29"/>
    </row>
    <row r="278" spans="1:10" s="20" customFormat="1" x14ac:dyDescent="0.25">
      <c r="A278" s="14">
        <v>46093</v>
      </c>
      <c r="B278" s="93" t="s">
        <v>563</v>
      </c>
      <c r="C278" s="7" t="s">
        <v>157</v>
      </c>
      <c r="D278" s="93" t="s">
        <v>433</v>
      </c>
      <c r="E278" s="93" t="s">
        <v>52</v>
      </c>
      <c r="F278" s="7">
        <v>1</v>
      </c>
      <c r="G278" s="7"/>
      <c r="H278" s="7"/>
      <c r="I278" s="24"/>
      <c r="J278" s="29"/>
    </row>
    <row r="279" spans="1:10" s="20" customFormat="1" x14ac:dyDescent="0.25">
      <c r="A279" s="14">
        <v>46093</v>
      </c>
      <c r="B279" s="93" t="s">
        <v>563</v>
      </c>
      <c r="C279" s="7" t="s">
        <v>170</v>
      </c>
      <c r="D279" s="93" t="s">
        <v>446</v>
      </c>
      <c r="E279" s="93" t="s">
        <v>52</v>
      </c>
      <c r="F279" s="7">
        <v>1</v>
      </c>
      <c r="G279" s="7"/>
      <c r="H279" s="7"/>
      <c r="I279" s="24"/>
      <c r="J279" s="29"/>
    </row>
    <row r="280" spans="1:10" s="20" customFormat="1" x14ac:dyDescent="0.25">
      <c r="A280" s="14">
        <v>46093</v>
      </c>
      <c r="B280" s="93" t="s">
        <v>563</v>
      </c>
      <c r="C280" s="7" t="s">
        <v>271</v>
      </c>
      <c r="D280" s="93" t="s">
        <v>457</v>
      </c>
      <c r="E280" s="93" t="s">
        <v>52</v>
      </c>
      <c r="F280" s="7">
        <v>2</v>
      </c>
      <c r="G280" s="7"/>
      <c r="H280" s="7"/>
      <c r="I280" s="24"/>
      <c r="J280" s="29"/>
    </row>
    <row r="281" spans="1:10" s="20" customFormat="1" x14ac:dyDescent="0.25">
      <c r="A281" s="14">
        <v>46093</v>
      </c>
      <c r="B281" s="93" t="s">
        <v>563</v>
      </c>
      <c r="C281" s="7" t="s">
        <v>122</v>
      </c>
      <c r="D281" s="93" t="s">
        <v>402</v>
      </c>
      <c r="E281" s="93" t="s">
        <v>52</v>
      </c>
      <c r="F281" s="7">
        <v>1</v>
      </c>
      <c r="G281" s="7"/>
      <c r="H281" s="7"/>
      <c r="I281" s="24"/>
      <c r="J281" s="29"/>
    </row>
    <row r="282" spans="1:10" s="20" customFormat="1" x14ac:dyDescent="0.25">
      <c r="A282" s="14">
        <v>46093</v>
      </c>
      <c r="B282" s="93" t="s">
        <v>563</v>
      </c>
      <c r="C282" s="7" t="s">
        <v>121</v>
      </c>
      <c r="D282" s="93" t="s">
        <v>401</v>
      </c>
      <c r="E282" s="93" t="s">
        <v>52</v>
      </c>
      <c r="F282" s="7">
        <v>1</v>
      </c>
      <c r="G282" s="7"/>
      <c r="H282" s="7"/>
      <c r="I282" s="24"/>
      <c r="J282" s="29"/>
    </row>
    <row r="283" spans="1:10" s="20" customFormat="1" x14ac:dyDescent="0.25">
      <c r="A283" s="14">
        <v>46093</v>
      </c>
      <c r="B283" s="93" t="s">
        <v>563</v>
      </c>
      <c r="C283" s="7" t="s">
        <v>133</v>
      </c>
      <c r="D283" s="93" t="s">
        <v>413</v>
      </c>
      <c r="E283" s="93" t="s">
        <v>52</v>
      </c>
      <c r="F283" s="7">
        <v>1</v>
      </c>
      <c r="G283" s="7"/>
      <c r="H283" s="7"/>
      <c r="I283" s="24"/>
      <c r="J283" s="29"/>
    </row>
    <row r="284" spans="1:10" s="20" customFormat="1" x14ac:dyDescent="0.25">
      <c r="A284" s="14">
        <v>46093</v>
      </c>
      <c r="B284" s="93" t="s">
        <v>588</v>
      </c>
      <c r="C284" s="7" t="s">
        <v>169</v>
      </c>
      <c r="D284" s="93" t="s">
        <v>445</v>
      </c>
      <c r="E284" s="93" t="s">
        <v>52</v>
      </c>
      <c r="F284" s="7">
        <v>3</v>
      </c>
      <c r="G284" s="7"/>
      <c r="H284" s="7"/>
      <c r="I284" s="24"/>
      <c r="J284" s="29"/>
    </row>
    <row r="285" spans="1:10" s="20" customFormat="1" x14ac:dyDescent="0.25">
      <c r="A285" s="14">
        <v>46093</v>
      </c>
      <c r="B285" s="93" t="s">
        <v>588</v>
      </c>
      <c r="C285" s="7" t="s">
        <v>314</v>
      </c>
      <c r="D285" s="93" t="s">
        <v>461</v>
      </c>
      <c r="E285" s="93" t="s">
        <v>52</v>
      </c>
      <c r="F285" s="7">
        <v>2</v>
      </c>
      <c r="G285" s="7"/>
      <c r="H285" s="7"/>
      <c r="I285" s="24"/>
      <c r="J285" s="29"/>
    </row>
    <row r="286" spans="1:10" s="20" customFormat="1" x14ac:dyDescent="0.25">
      <c r="A286" s="14">
        <v>46093</v>
      </c>
      <c r="B286" s="93" t="s">
        <v>338</v>
      </c>
      <c r="C286" s="7" t="s">
        <v>149</v>
      </c>
      <c r="D286" s="93" t="s">
        <v>425</v>
      </c>
      <c r="E286" s="93" t="s">
        <v>52</v>
      </c>
      <c r="F286" s="7">
        <v>1</v>
      </c>
      <c r="G286" s="7"/>
      <c r="H286" s="7"/>
      <c r="I286" s="24"/>
      <c r="J286" s="29"/>
    </row>
    <row r="287" spans="1:10" s="20" customFormat="1" x14ac:dyDescent="0.25">
      <c r="A287" s="14">
        <v>46093</v>
      </c>
      <c r="B287" s="20" t="s">
        <v>546</v>
      </c>
      <c r="C287" s="6" t="s">
        <v>169</v>
      </c>
      <c r="D287" s="20" t="s">
        <v>445</v>
      </c>
      <c r="E287" s="20" t="s">
        <v>52</v>
      </c>
      <c r="F287" s="6">
        <v>1</v>
      </c>
      <c r="G287" s="6"/>
      <c r="H287" s="6"/>
      <c r="I287" s="22"/>
      <c r="J287" s="28" t="s">
        <v>325</v>
      </c>
    </row>
    <row r="288" spans="1:10" s="20" customFormat="1" x14ac:dyDescent="0.25">
      <c r="A288" s="73">
        <v>46094</v>
      </c>
      <c r="B288" s="93" t="s">
        <v>528</v>
      </c>
      <c r="C288" s="7" t="s">
        <v>155</v>
      </c>
      <c r="D288" s="93" t="s">
        <v>431</v>
      </c>
      <c r="E288" s="93" t="s">
        <v>52</v>
      </c>
      <c r="F288" s="7">
        <v>1</v>
      </c>
      <c r="G288" s="7"/>
      <c r="H288" s="7"/>
      <c r="I288" s="24"/>
      <c r="J288" s="29"/>
    </row>
    <row r="289" spans="1:10" s="20" customFormat="1" x14ac:dyDescent="0.25">
      <c r="A289" s="73">
        <v>46094</v>
      </c>
      <c r="B289" s="93" t="s">
        <v>528</v>
      </c>
      <c r="C289" s="7" t="s">
        <v>180</v>
      </c>
      <c r="D289" s="93" t="s">
        <v>456</v>
      </c>
      <c r="E289" s="93" t="s">
        <v>52</v>
      </c>
      <c r="F289" s="7">
        <v>1</v>
      </c>
      <c r="G289" s="7"/>
      <c r="H289" s="7"/>
      <c r="I289" s="24"/>
      <c r="J289" s="29"/>
    </row>
    <row r="290" spans="1:10" s="20" customFormat="1" x14ac:dyDescent="0.25">
      <c r="A290" s="73">
        <v>46094</v>
      </c>
      <c r="B290" s="20" t="s">
        <v>547</v>
      </c>
      <c r="C290" s="6" t="s">
        <v>60</v>
      </c>
      <c r="D290" s="20" t="s">
        <v>15</v>
      </c>
      <c r="E290" s="20" t="s">
        <v>549</v>
      </c>
      <c r="F290" s="6">
        <v>1</v>
      </c>
      <c r="G290" s="6"/>
      <c r="H290" s="6"/>
      <c r="I290" s="22"/>
      <c r="J290" s="28" t="s">
        <v>325</v>
      </c>
    </row>
    <row r="291" spans="1:10" s="20" customFormat="1" x14ac:dyDescent="0.25">
      <c r="A291" s="73">
        <v>46094</v>
      </c>
      <c r="B291" s="93" t="s">
        <v>562</v>
      </c>
      <c r="C291" s="7" t="s">
        <v>205</v>
      </c>
      <c r="D291" s="93" t="s">
        <v>487</v>
      </c>
      <c r="E291" s="93" t="s">
        <v>51</v>
      </c>
      <c r="F291" s="7">
        <v>1</v>
      </c>
      <c r="G291" s="7"/>
      <c r="H291" s="7"/>
      <c r="I291" s="24"/>
      <c r="J291" s="29"/>
    </row>
    <row r="292" spans="1:10" s="20" customFormat="1" x14ac:dyDescent="0.25">
      <c r="A292" s="73">
        <v>46094</v>
      </c>
      <c r="B292" s="93" t="s">
        <v>562</v>
      </c>
      <c r="C292" s="7" t="s">
        <v>162</v>
      </c>
      <c r="D292" s="93" t="s">
        <v>438</v>
      </c>
      <c r="E292" s="93" t="s">
        <v>52</v>
      </c>
      <c r="F292" s="7">
        <v>1</v>
      </c>
      <c r="G292" s="7"/>
      <c r="H292" s="7"/>
      <c r="I292" s="24"/>
      <c r="J292" s="29"/>
    </row>
    <row r="293" spans="1:10" s="20" customFormat="1" x14ac:dyDescent="0.25">
      <c r="A293" s="73">
        <v>46094</v>
      </c>
      <c r="B293" s="93" t="s">
        <v>562</v>
      </c>
      <c r="C293" s="7" t="s">
        <v>180</v>
      </c>
      <c r="D293" s="93" t="s">
        <v>456</v>
      </c>
      <c r="E293" s="93" t="s">
        <v>52</v>
      </c>
      <c r="F293" s="7">
        <v>2</v>
      </c>
      <c r="G293" s="7"/>
      <c r="H293" s="7"/>
      <c r="I293" s="24"/>
      <c r="J293" s="29"/>
    </row>
    <row r="294" spans="1:10" s="20" customFormat="1" x14ac:dyDescent="0.25">
      <c r="A294" s="73">
        <v>46094</v>
      </c>
      <c r="B294" s="93" t="s">
        <v>562</v>
      </c>
      <c r="C294" s="7" t="s">
        <v>128</v>
      </c>
      <c r="D294" s="93" t="s">
        <v>408</v>
      </c>
      <c r="E294" s="93" t="s">
        <v>52</v>
      </c>
      <c r="F294" s="7">
        <v>1</v>
      </c>
      <c r="G294" s="7"/>
      <c r="H294" s="7"/>
      <c r="I294" s="24"/>
      <c r="J294" s="29"/>
    </row>
    <row r="295" spans="1:10" s="20" customFormat="1" x14ac:dyDescent="0.25">
      <c r="A295" s="73">
        <v>46094</v>
      </c>
      <c r="B295" s="93" t="s">
        <v>562</v>
      </c>
      <c r="C295" s="7" t="s">
        <v>170</v>
      </c>
      <c r="D295" s="93" t="s">
        <v>446</v>
      </c>
      <c r="E295" s="93" t="s">
        <v>52</v>
      </c>
      <c r="F295" s="7">
        <v>1</v>
      </c>
      <c r="G295" s="7"/>
      <c r="H295" s="7"/>
      <c r="I295" s="24"/>
      <c r="J295" s="29"/>
    </row>
    <row r="296" spans="1:10" s="20" customFormat="1" x14ac:dyDescent="0.25">
      <c r="A296" s="73">
        <v>46094</v>
      </c>
      <c r="B296" s="93" t="s">
        <v>562</v>
      </c>
      <c r="C296" s="7" t="s">
        <v>125</v>
      </c>
      <c r="D296" s="93" t="s">
        <v>405</v>
      </c>
      <c r="E296" s="93" t="s">
        <v>52</v>
      </c>
      <c r="F296" s="7">
        <v>1</v>
      </c>
      <c r="G296" s="7"/>
      <c r="H296" s="7"/>
      <c r="I296" s="24"/>
      <c r="J296" s="29"/>
    </row>
    <row r="297" spans="1:10" s="20" customFormat="1" x14ac:dyDescent="0.25">
      <c r="A297" s="73">
        <v>46094</v>
      </c>
      <c r="B297" s="93" t="s">
        <v>562</v>
      </c>
      <c r="C297" s="7" t="s">
        <v>54</v>
      </c>
      <c r="D297" s="93" t="s">
        <v>8</v>
      </c>
      <c r="E297" s="93" t="s">
        <v>13</v>
      </c>
      <c r="F297" s="7">
        <v>1</v>
      </c>
      <c r="G297" s="7"/>
      <c r="H297" s="7"/>
      <c r="I297" s="24"/>
      <c r="J297" s="29"/>
    </row>
    <row r="298" spans="1:10" s="20" customFormat="1" x14ac:dyDescent="0.25">
      <c r="A298" s="73">
        <v>46094</v>
      </c>
      <c r="B298" s="93" t="s">
        <v>527</v>
      </c>
      <c r="C298" s="7" t="s">
        <v>156</v>
      </c>
      <c r="D298" s="93" t="s">
        <v>432</v>
      </c>
      <c r="E298" s="93" t="s">
        <v>52</v>
      </c>
      <c r="F298" s="7">
        <v>1</v>
      </c>
      <c r="G298" s="7"/>
      <c r="H298" s="7"/>
      <c r="I298" s="24"/>
      <c r="J298" s="29"/>
    </row>
    <row r="299" spans="1:10" s="20" customFormat="1" x14ac:dyDescent="0.25">
      <c r="A299" s="73">
        <v>46094</v>
      </c>
      <c r="B299" s="93" t="s">
        <v>527</v>
      </c>
      <c r="C299" s="7" t="s">
        <v>180</v>
      </c>
      <c r="D299" s="93" t="s">
        <v>456</v>
      </c>
      <c r="E299" s="93" t="s">
        <v>52</v>
      </c>
      <c r="F299" s="7">
        <v>1</v>
      </c>
      <c r="G299" s="7"/>
      <c r="H299" s="7"/>
      <c r="I299" s="24"/>
      <c r="J299" s="29"/>
    </row>
    <row r="300" spans="1:10" s="20" customFormat="1" x14ac:dyDescent="0.25">
      <c r="A300" s="73">
        <v>46094</v>
      </c>
      <c r="B300" s="93" t="s">
        <v>527</v>
      </c>
      <c r="C300" s="7" t="s">
        <v>170</v>
      </c>
      <c r="D300" s="93" t="s">
        <v>446</v>
      </c>
      <c r="E300" s="93" t="s">
        <v>52</v>
      </c>
      <c r="F300" s="7">
        <v>4</v>
      </c>
      <c r="G300" s="7"/>
      <c r="H300" s="7"/>
      <c r="I300" s="24"/>
      <c r="J300" s="29"/>
    </row>
    <row r="301" spans="1:10" s="20" customFormat="1" x14ac:dyDescent="0.25">
      <c r="A301" s="73">
        <v>46094</v>
      </c>
      <c r="B301" s="93" t="s">
        <v>527</v>
      </c>
      <c r="C301" s="7" t="s">
        <v>140</v>
      </c>
      <c r="D301" s="93" t="s">
        <v>419</v>
      </c>
      <c r="E301" s="93" t="s">
        <v>52</v>
      </c>
      <c r="F301" s="7">
        <v>1</v>
      </c>
      <c r="G301" s="7"/>
      <c r="H301" s="7"/>
      <c r="I301" s="24"/>
      <c r="J301" s="29"/>
    </row>
    <row r="302" spans="1:10" s="20" customFormat="1" x14ac:dyDescent="0.25">
      <c r="A302" s="73">
        <v>46094</v>
      </c>
      <c r="B302" s="93" t="s">
        <v>527</v>
      </c>
      <c r="C302" s="7" t="s">
        <v>267</v>
      </c>
      <c r="D302" s="93" t="s">
        <v>262</v>
      </c>
      <c r="E302" s="93" t="s">
        <v>50</v>
      </c>
      <c r="F302" s="7">
        <v>1</v>
      </c>
      <c r="G302" s="7"/>
      <c r="H302" s="7"/>
      <c r="I302" s="24"/>
      <c r="J302" s="29"/>
    </row>
    <row r="303" spans="1:10" s="20" customFormat="1" x14ac:dyDescent="0.25">
      <c r="A303" s="73">
        <v>46094</v>
      </c>
      <c r="B303" s="93" t="s">
        <v>527</v>
      </c>
      <c r="C303" s="7" t="s">
        <v>249</v>
      </c>
      <c r="D303" s="93" t="s">
        <v>39</v>
      </c>
      <c r="E303" s="93" t="s">
        <v>50</v>
      </c>
      <c r="F303" s="7">
        <v>1</v>
      </c>
      <c r="G303" s="7"/>
      <c r="H303" s="7"/>
      <c r="I303" s="24"/>
      <c r="J303" s="29"/>
    </row>
    <row r="304" spans="1:10" s="20" customFormat="1" x14ac:dyDescent="0.25">
      <c r="A304" s="73">
        <v>46094</v>
      </c>
      <c r="B304" s="93" t="s">
        <v>527</v>
      </c>
      <c r="C304" s="7" t="s">
        <v>259</v>
      </c>
      <c r="D304" s="93" t="s">
        <v>49</v>
      </c>
      <c r="E304" s="93" t="s">
        <v>50</v>
      </c>
      <c r="F304" s="7">
        <v>1</v>
      </c>
      <c r="G304" s="7"/>
      <c r="H304" s="7"/>
      <c r="I304" s="24"/>
      <c r="J304" s="29"/>
    </row>
    <row r="305" spans="1:10" s="20" customFormat="1" x14ac:dyDescent="0.25">
      <c r="A305" s="73">
        <v>46094</v>
      </c>
      <c r="B305" s="93" t="s">
        <v>591</v>
      </c>
      <c r="C305" s="7" t="s">
        <v>140</v>
      </c>
      <c r="D305" s="93" t="s">
        <v>419</v>
      </c>
      <c r="E305" s="93" t="s">
        <v>52</v>
      </c>
      <c r="F305" s="7">
        <v>1</v>
      </c>
      <c r="G305" s="7"/>
      <c r="H305" s="7"/>
      <c r="I305" s="24"/>
      <c r="J305" s="29"/>
    </row>
    <row r="306" spans="1:10" s="20" customFormat="1" x14ac:dyDescent="0.25">
      <c r="A306" s="73">
        <v>46095</v>
      </c>
      <c r="B306" s="20" t="s">
        <v>547</v>
      </c>
      <c r="C306" s="6" t="s">
        <v>153</v>
      </c>
      <c r="D306" s="20" t="s">
        <v>429</v>
      </c>
      <c r="E306" s="20" t="s">
        <v>52</v>
      </c>
      <c r="F306" s="6">
        <v>2</v>
      </c>
      <c r="G306" s="6"/>
      <c r="H306" s="6"/>
      <c r="I306" s="22"/>
      <c r="J306" s="28" t="s">
        <v>325</v>
      </c>
    </row>
    <row r="307" spans="1:10" s="20" customFormat="1" x14ac:dyDescent="0.25">
      <c r="A307" s="73">
        <v>46095</v>
      </c>
      <c r="B307" s="20" t="s">
        <v>547</v>
      </c>
      <c r="C307" s="6" t="s">
        <v>180</v>
      </c>
      <c r="D307" s="20" t="s">
        <v>456</v>
      </c>
      <c r="E307" s="20" t="s">
        <v>52</v>
      </c>
      <c r="F307" s="6">
        <v>8</v>
      </c>
      <c r="G307" s="6"/>
      <c r="H307" s="6"/>
      <c r="I307" s="22"/>
      <c r="J307" s="28" t="s">
        <v>325</v>
      </c>
    </row>
    <row r="308" spans="1:10" s="20" customFormat="1" x14ac:dyDescent="0.25">
      <c r="A308" s="73">
        <v>46095</v>
      </c>
      <c r="B308" s="20" t="s">
        <v>547</v>
      </c>
      <c r="C308" s="6" t="s">
        <v>154</v>
      </c>
      <c r="D308" s="20" t="s">
        <v>430</v>
      </c>
      <c r="E308" s="20" t="s">
        <v>52</v>
      </c>
      <c r="F308" s="6">
        <v>1</v>
      </c>
      <c r="G308" s="6"/>
      <c r="H308" s="6"/>
      <c r="I308" s="22"/>
      <c r="J308" s="28" t="s">
        <v>325</v>
      </c>
    </row>
    <row r="309" spans="1:10" s="20" customFormat="1" x14ac:dyDescent="0.25">
      <c r="A309" s="73">
        <v>46095</v>
      </c>
      <c r="B309" s="20" t="s">
        <v>547</v>
      </c>
      <c r="C309" s="6" t="s">
        <v>166</v>
      </c>
      <c r="D309" s="20" t="s">
        <v>442</v>
      </c>
      <c r="E309" s="20" t="s">
        <v>52</v>
      </c>
      <c r="F309" s="6">
        <v>1</v>
      </c>
      <c r="G309" s="6"/>
      <c r="H309" s="6"/>
      <c r="I309" s="22"/>
      <c r="J309" s="28" t="s">
        <v>325</v>
      </c>
    </row>
    <row r="310" spans="1:10" s="20" customFormat="1" x14ac:dyDescent="0.25">
      <c r="A310" s="73">
        <v>46095</v>
      </c>
      <c r="B310" s="20" t="s">
        <v>547</v>
      </c>
      <c r="C310" s="6" t="s">
        <v>170</v>
      </c>
      <c r="D310" s="20" t="s">
        <v>446</v>
      </c>
      <c r="E310" s="20" t="s">
        <v>52</v>
      </c>
      <c r="F310" s="6">
        <v>3</v>
      </c>
      <c r="G310" s="6"/>
      <c r="H310" s="6"/>
      <c r="I310" s="22"/>
      <c r="J310" s="28" t="s">
        <v>325</v>
      </c>
    </row>
    <row r="311" spans="1:10" s="20" customFormat="1" x14ac:dyDescent="0.25">
      <c r="A311" s="73">
        <v>46095</v>
      </c>
      <c r="B311" s="20" t="s">
        <v>547</v>
      </c>
      <c r="C311" s="6" t="s">
        <v>122</v>
      </c>
      <c r="D311" s="20" t="s">
        <v>402</v>
      </c>
      <c r="E311" s="20" t="s">
        <v>52</v>
      </c>
      <c r="F311" s="6">
        <v>1</v>
      </c>
      <c r="G311" s="6"/>
      <c r="H311" s="6"/>
      <c r="I311" s="22"/>
      <c r="J311" s="28" t="s">
        <v>325</v>
      </c>
    </row>
    <row r="312" spans="1:10" s="20" customFormat="1" x14ac:dyDescent="0.25">
      <c r="A312" s="73">
        <v>46095</v>
      </c>
      <c r="B312" s="20" t="s">
        <v>547</v>
      </c>
      <c r="C312" s="6" t="s">
        <v>173</v>
      </c>
      <c r="D312" s="20" t="s">
        <v>449</v>
      </c>
      <c r="E312" s="20" t="s">
        <v>52</v>
      </c>
      <c r="F312" s="6">
        <v>5</v>
      </c>
      <c r="G312" s="6"/>
      <c r="H312" s="6"/>
      <c r="I312" s="22"/>
      <c r="J312" s="28" t="s">
        <v>325</v>
      </c>
    </row>
    <row r="313" spans="1:10" s="20" customFormat="1" x14ac:dyDescent="0.25">
      <c r="A313" s="73">
        <v>46095</v>
      </c>
      <c r="B313" s="20" t="s">
        <v>547</v>
      </c>
      <c r="C313" s="6" t="s">
        <v>313</v>
      </c>
      <c r="D313" s="20" t="s">
        <v>460</v>
      </c>
      <c r="E313" s="20" t="s">
        <v>52</v>
      </c>
      <c r="F313" s="6">
        <v>8</v>
      </c>
      <c r="G313" s="6"/>
      <c r="H313" s="6"/>
      <c r="I313" s="22"/>
      <c r="J313" s="28" t="s">
        <v>325</v>
      </c>
    </row>
    <row r="314" spans="1:10" s="20" customFormat="1" x14ac:dyDescent="0.25">
      <c r="A314" s="73">
        <v>46095</v>
      </c>
      <c r="B314" s="93" t="s">
        <v>527</v>
      </c>
      <c r="C314" s="7" t="s">
        <v>203</v>
      </c>
      <c r="D314" s="93" t="s">
        <v>485</v>
      </c>
      <c r="E314" s="93" t="s">
        <v>51</v>
      </c>
      <c r="F314" s="7">
        <v>1</v>
      </c>
      <c r="G314" s="7"/>
      <c r="H314" s="7"/>
      <c r="I314" s="24"/>
      <c r="J314" s="29"/>
    </row>
    <row r="315" spans="1:10" s="20" customFormat="1" x14ac:dyDescent="0.25">
      <c r="A315" s="73">
        <v>46095</v>
      </c>
      <c r="B315" s="93" t="s">
        <v>527</v>
      </c>
      <c r="C315" s="7" t="s">
        <v>223</v>
      </c>
      <c r="D315" s="93" t="s">
        <v>505</v>
      </c>
      <c r="E315" s="93" t="s">
        <v>51</v>
      </c>
      <c r="F315" s="7">
        <v>1</v>
      </c>
      <c r="G315" s="7"/>
      <c r="H315" s="7"/>
      <c r="I315" s="24"/>
      <c r="J315" s="29"/>
    </row>
    <row r="316" spans="1:10" x14ac:dyDescent="0.25">
      <c r="A316" s="73">
        <v>46096</v>
      </c>
      <c r="B316" s="3" t="s">
        <v>592</v>
      </c>
      <c r="C316" s="4" t="s">
        <v>118</v>
      </c>
      <c r="D316" s="20" t="s">
        <v>368</v>
      </c>
      <c r="E316" s="3" t="s">
        <v>53</v>
      </c>
      <c r="F316" s="4">
        <v>1</v>
      </c>
    </row>
    <row r="317" spans="1:10" x14ac:dyDescent="0.25">
      <c r="A317" s="73">
        <v>46096</v>
      </c>
      <c r="B317" s="3" t="s">
        <v>592</v>
      </c>
      <c r="C317" s="4" t="s">
        <v>113</v>
      </c>
      <c r="D317" s="20" t="s">
        <v>373</v>
      </c>
      <c r="E317" s="3" t="s">
        <v>53</v>
      </c>
      <c r="F317" s="4">
        <v>1</v>
      </c>
    </row>
    <row r="318" spans="1:10" x14ac:dyDescent="0.25">
      <c r="A318" s="73">
        <v>46096</v>
      </c>
      <c r="B318" s="3" t="s">
        <v>592</v>
      </c>
      <c r="C318" s="4" t="s">
        <v>114</v>
      </c>
      <c r="D318" s="20" t="s">
        <v>372</v>
      </c>
      <c r="E318" s="3" t="s">
        <v>53</v>
      </c>
      <c r="F318" s="4">
        <v>1</v>
      </c>
    </row>
    <row r="319" spans="1:10" x14ac:dyDescent="0.25">
      <c r="A319" s="73">
        <v>46096</v>
      </c>
      <c r="B319" s="3" t="s">
        <v>592</v>
      </c>
      <c r="C319" s="4" t="s">
        <v>76</v>
      </c>
      <c r="D319" s="20" t="s">
        <v>399</v>
      </c>
      <c r="E319" s="3" t="s">
        <v>53</v>
      </c>
      <c r="F319" s="4">
        <v>1</v>
      </c>
    </row>
    <row r="320" spans="1:10" x14ac:dyDescent="0.25">
      <c r="A320" s="73">
        <v>46096</v>
      </c>
      <c r="B320" s="3" t="s">
        <v>592</v>
      </c>
      <c r="C320" s="4" t="s">
        <v>75</v>
      </c>
      <c r="D320" s="20" t="s">
        <v>348</v>
      </c>
      <c r="E320" s="3" t="s">
        <v>53</v>
      </c>
      <c r="F320" s="4">
        <v>1</v>
      </c>
    </row>
    <row r="321" spans="1:10" x14ac:dyDescent="0.25">
      <c r="A321" s="73">
        <v>46096</v>
      </c>
      <c r="B321" s="3" t="s">
        <v>592</v>
      </c>
      <c r="C321" s="4" t="s">
        <v>65</v>
      </c>
      <c r="D321" s="20" t="s">
        <v>20</v>
      </c>
      <c r="E321" s="3" t="s">
        <v>53</v>
      </c>
      <c r="F321" s="4">
        <v>1</v>
      </c>
    </row>
    <row r="322" spans="1:10" x14ac:dyDescent="0.25">
      <c r="A322" s="73">
        <v>46096</v>
      </c>
      <c r="B322" s="3" t="s">
        <v>592</v>
      </c>
      <c r="C322" s="4" t="s">
        <v>81</v>
      </c>
      <c r="D322" s="20" t="s">
        <v>353</v>
      </c>
      <c r="E322" s="3" t="s">
        <v>53</v>
      </c>
      <c r="F322" s="4">
        <v>1</v>
      </c>
    </row>
    <row r="323" spans="1:10" x14ac:dyDescent="0.25">
      <c r="A323" s="73">
        <v>46096</v>
      </c>
      <c r="B323" s="3" t="s">
        <v>592</v>
      </c>
      <c r="C323" s="4" t="s">
        <v>74</v>
      </c>
      <c r="D323" s="20" t="s">
        <v>347</v>
      </c>
      <c r="E323" s="3" t="s">
        <v>53</v>
      </c>
      <c r="F323" s="4">
        <v>1</v>
      </c>
    </row>
    <row r="324" spans="1:10" x14ac:dyDescent="0.25">
      <c r="A324" s="73">
        <v>46096</v>
      </c>
      <c r="B324" s="3" t="s">
        <v>592</v>
      </c>
      <c r="C324" s="4" t="s">
        <v>80</v>
      </c>
      <c r="D324" s="20" t="s">
        <v>352</v>
      </c>
      <c r="E324" s="3" t="s">
        <v>53</v>
      </c>
      <c r="F324" s="4">
        <v>1</v>
      </c>
    </row>
    <row r="325" spans="1:10" x14ac:dyDescent="0.25">
      <c r="A325" s="73">
        <v>46096</v>
      </c>
      <c r="B325" s="3" t="s">
        <v>592</v>
      </c>
      <c r="C325" s="4" t="s">
        <v>83</v>
      </c>
      <c r="D325" s="20" t="s">
        <v>355</v>
      </c>
      <c r="E325" s="3" t="s">
        <v>53</v>
      </c>
      <c r="F325" s="4">
        <v>1</v>
      </c>
    </row>
    <row r="326" spans="1:10" x14ac:dyDescent="0.25">
      <c r="A326" s="73">
        <v>46096</v>
      </c>
      <c r="B326" s="3" t="s">
        <v>592</v>
      </c>
      <c r="C326" s="4" t="s">
        <v>115</v>
      </c>
      <c r="D326" s="20" t="s">
        <v>371</v>
      </c>
      <c r="E326" s="3" t="s">
        <v>53</v>
      </c>
      <c r="F326" s="4">
        <v>1</v>
      </c>
    </row>
    <row r="327" spans="1:10" x14ac:dyDescent="0.25">
      <c r="A327" s="73">
        <v>46096</v>
      </c>
      <c r="B327" s="3" t="s">
        <v>592</v>
      </c>
      <c r="C327" s="4" t="s">
        <v>120</v>
      </c>
      <c r="D327" s="20" t="s">
        <v>366</v>
      </c>
      <c r="E327" s="3" t="s">
        <v>53</v>
      </c>
      <c r="F327" s="4">
        <v>1</v>
      </c>
    </row>
    <row r="328" spans="1:10" x14ac:dyDescent="0.25">
      <c r="A328" s="73">
        <v>46096</v>
      </c>
      <c r="B328" s="3" t="s">
        <v>592</v>
      </c>
      <c r="C328" s="4" t="s">
        <v>96</v>
      </c>
      <c r="D328" s="20" t="s">
        <v>388</v>
      </c>
      <c r="E328" s="3" t="s">
        <v>53</v>
      </c>
      <c r="F328" s="4">
        <v>1</v>
      </c>
    </row>
    <row r="329" spans="1:10" x14ac:dyDescent="0.25">
      <c r="A329" s="73">
        <v>46096</v>
      </c>
      <c r="B329" s="3" t="s">
        <v>592</v>
      </c>
      <c r="C329" s="4" t="s">
        <v>110</v>
      </c>
      <c r="D329" s="20" t="s">
        <v>376</v>
      </c>
      <c r="E329" s="3" t="s">
        <v>53</v>
      </c>
      <c r="F329" s="4">
        <v>1</v>
      </c>
    </row>
    <row r="330" spans="1:10" x14ac:dyDescent="0.25">
      <c r="A330" s="73">
        <v>46096</v>
      </c>
      <c r="B330" s="3" t="s">
        <v>592</v>
      </c>
      <c r="C330" s="4" t="s">
        <v>93</v>
      </c>
      <c r="D330" s="20" t="s">
        <v>398</v>
      </c>
      <c r="E330" s="3" t="s">
        <v>53</v>
      </c>
      <c r="F330" s="4">
        <v>1</v>
      </c>
    </row>
    <row r="331" spans="1:10" x14ac:dyDescent="0.25">
      <c r="A331" s="73">
        <v>46096</v>
      </c>
      <c r="B331" s="3" t="s">
        <v>592</v>
      </c>
      <c r="C331" s="4" t="s">
        <v>94</v>
      </c>
      <c r="D331" s="20" t="s">
        <v>392</v>
      </c>
      <c r="E331" s="3" t="s">
        <v>53</v>
      </c>
      <c r="F331" s="4">
        <v>1</v>
      </c>
    </row>
    <row r="332" spans="1:10" x14ac:dyDescent="0.25">
      <c r="A332" s="73">
        <v>46096</v>
      </c>
      <c r="B332" s="3" t="s">
        <v>592</v>
      </c>
      <c r="C332" s="4" t="s">
        <v>100</v>
      </c>
      <c r="D332" s="20" t="s">
        <v>386</v>
      </c>
      <c r="E332" s="3" t="s">
        <v>53</v>
      </c>
      <c r="F332" s="4">
        <v>1</v>
      </c>
    </row>
    <row r="333" spans="1:10" x14ac:dyDescent="0.25">
      <c r="A333" s="73">
        <v>46096</v>
      </c>
      <c r="B333" s="3" t="s">
        <v>592</v>
      </c>
      <c r="C333" s="4" t="s">
        <v>90</v>
      </c>
      <c r="D333" s="20" t="s">
        <v>395</v>
      </c>
      <c r="E333" s="3" t="s">
        <v>53</v>
      </c>
      <c r="F333" s="4">
        <v>1</v>
      </c>
    </row>
    <row r="334" spans="1:10" x14ac:dyDescent="0.25">
      <c r="A334" s="73">
        <v>46096</v>
      </c>
      <c r="B334" s="3" t="s">
        <v>592</v>
      </c>
      <c r="C334" s="4" t="s">
        <v>99</v>
      </c>
      <c r="D334" s="20" t="s">
        <v>387</v>
      </c>
      <c r="E334" s="3" t="s">
        <v>53</v>
      </c>
      <c r="F334" s="4">
        <v>1</v>
      </c>
    </row>
    <row r="335" spans="1:10" x14ac:dyDescent="0.25">
      <c r="A335" s="73">
        <v>46096</v>
      </c>
      <c r="B335" s="3" t="s">
        <v>592</v>
      </c>
      <c r="C335" s="4" t="s">
        <v>109</v>
      </c>
      <c r="D335" s="20" t="s">
        <v>377</v>
      </c>
      <c r="E335" s="3" t="s">
        <v>53</v>
      </c>
      <c r="F335" s="4">
        <v>1</v>
      </c>
    </row>
    <row r="336" spans="1:10" s="20" customFormat="1" x14ac:dyDescent="0.25">
      <c r="A336" s="73">
        <v>46096</v>
      </c>
      <c r="B336" s="20" t="s">
        <v>592</v>
      </c>
      <c r="C336" s="6"/>
      <c r="D336" s="108" t="s">
        <v>593</v>
      </c>
      <c r="F336" s="6"/>
      <c r="G336" s="6"/>
      <c r="H336" s="6"/>
      <c r="I336" s="22"/>
      <c r="J336" s="10"/>
    </row>
    <row r="337" spans="1:10" s="20" customFormat="1" x14ac:dyDescent="0.25">
      <c r="A337" s="73">
        <v>46096</v>
      </c>
      <c r="B337" s="93" t="s">
        <v>594</v>
      </c>
      <c r="C337" s="7" t="s">
        <v>55</v>
      </c>
      <c r="D337" s="93" t="s">
        <v>9</v>
      </c>
      <c r="E337" s="93" t="s">
        <v>13</v>
      </c>
      <c r="F337" s="7">
        <v>1</v>
      </c>
      <c r="G337" s="7"/>
      <c r="H337" s="7"/>
      <c r="I337" s="24"/>
      <c r="J337" s="29"/>
    </row>
    <row r="338" spans="1:10" s="20" customFormat="1" x14ac:dyDescent="0.25">
      <c r="A338" s="73">
        <v>46096</v>
      </c>
      <c r="B338" s="93" t="s">
        <v>594</v>
      </c>
      <c r="C338" s="7" t="s">
        <v>157</v>
      </c>
      <c r="D338" s="93" t="s">
        <v>433</v>
      </c>
      <c r="E338" s="93" t="s">
        <v>52</v>
      </c>
      <c r="F338" s="7">
        <v>1</v>
      </c>
      <c r="G338" s="7"/>
      <c r="H338" s="7"/>
      <c r="I338" s="24"/>
      <c r="J338" s="29"/>
    </row>
    <row r="339" spans="1:10" s="20" customFormat="1" x14ac:dyDescent="0.25">
      <c r="A339" s="73">
        <v>46096</v>
      </c>
      <c r="B339" s="93" t="s">
        <v>594</v>
      </c>
      <c r="C339" s="7" t="s">
        <v>180</v>
      </c>
      <c r="D339" s="93" t="s">
        <v>456</v>
      </c>
      <c r="E339" s="93" t="s">
        <v>52</v>
      </c>
      <c r="F339" s="7">
        <v>1</v>
      </c>
      <c r="G339" s="7"/>
      <c r="H339" s="7"/>
      <c r="I339" s="24"/>
      <c r="J339" s="29"/>
    </row>
    <row r="340" spans="1:10" s="20" customFormat="1" x14ac:dyDescent="0.25">
      <c r="A340" s="73">
        <v>46096</v>
      </c>
      <c r="B340" s="93" t="s">
        <v>594</v>
      </c>
      <c r="C340" s="7" t="s">
        <v>169</v>
      </c>
      <c r="D340" s="93" t="s">
        <v>445</v>
      </c>
      <c r="E340" s="93" t="s">
        <v>52</v>
      </c>
      <c r="F340" s="7">
        <v>1</v>
      </c>
      <c r="G340" s="7"/>
      <c r="H340" s="7"/>
      <c r="I340" s="24"/>
      <c r="J340" s="29"/>
    </row>
    <row r="341" spans="1:10" s="20" customFormat="1" x14ac:dyDescent="0.25">
      <c r="A341" s="73">
        <v>46096</v>
      </c>
      <c r="B341" s="93" t="s">
        <v>594</v>
      </c>
      <c r="C341" s="7" t="s">
        <v>136</v>
      </c>
      <c r="D341" s="93" t="s">
        <v>416</v>
      </c>
      <c r="E341" s="93" t="s">
        <v>52</v>
      </c>
      <c r="F341" s="7">
        <v>1</v>
      </c>
      <c r="G341" s="7"/>
      <c r="H341" s="7"/>
      <c r="I341" s="24"/>
      <c r="J341" s="29"/>
    </row>
    <row r="342" spans="1:10" s="20" customFormat="1" x14ac:dyDescent="0.25">
      <c r="A342" s="73">
        <v>46096</v>
      </c>
      <c r="B342" s="93" t="s">
        <v>594</v>
      </c>
      <c r="C342" s="7" t="s">
        <v>140</v>
      </c>
      <c r="D342" s="93" t="s">
        <v>419</v>
      </c>
      <c r="E342" s="93" t="s">
        <v>52</v>
      </c>
      <c r="F342" s="7">
        <v>1</v>
      </c>
      <c r="G342" s="7"/>
      <c r="H342" s="7"/>
      <c r="I342" s="24"/>
      <c r="J342" s="29"/>
    </row>
    <row r="343" spans="1:10" s="20" customFormat="1" x14ac:dyDescent="0.25">
      <c r="A343" s="73">
        <v>46096</v>
      </c>
      <c r="B343" s="93" t="s">
        <v>594</v>
      </c>
      <c r="C343" s="7" t="s">
        <v>173</v>
      </c>
      <c r="D343" s="93" t="s">
        <v>449</v>
      </c>
      <c r="E343" s="93" t="s">
        <v>52</v>
      </c>
      <c r="F343" s="7">
        <v>1</v>
      </c>
      <c r="G343" s="7"/>
      <c r="H343" s="7"/>
      <c r="I343" s="24"/>
      <c r="J343" s="29"/>
    </row>
    <row r="344" spans="1:10" s="20" customFormat="1" x14ac:dyDescent="0.25">
      <c r="A344" s="73">
        <v>46096</v>
      </c>
      <c r="B344" s="93" t="s">
        <v>594</v>
      </c>
      <c r="C344" s="7" t="s">
        <v>249</v>
      </c>
      <c r="D344" s="93" t="s">
        <v>39</v>
      </c>
      <c r="E344" s="93" t="s">
        <v>50</v>
      </c>
      <c r="F344" s="7">
        <v>1</v>
      </c>
      <c r="G344" s="7"/>
      <c r="H344" s="7"/>
      <c r="I344" s="24"/>
      <c r="J344" s="29"/>
    </row>
    <row r="345" spans="1:10" s="20" customFormat="1" x14ac:dyDescent="0.25">
      <c r="A345" s="73">
        <v>46097</v>
      </c>
      <c r="B345" s="93" t="s">
        <v>338</v>
      </c>
      <c r="C345" s="7" t="s">
        <v>125</v>
      </c>
      <c r="D345" s="93" t="s">
        <v>405</v>
      </c>
      <c r="E345" s="93" t="s">
        <v>52</v>
      </c>
      <c r="F345" s="7">
        <v>2</v>
      </c>
      <c r="G345" s="7"/>
      <c r="H345" s="7"/>
      <c r="I345" s="24"/>
      <c r="J345" s="29"/>
    </row>
    <row r="346" spans="1:10" s="20" customFormat="1" x14ac:dyDescent="0.25">
      <c r="A346" s="73">
        <v>46097</v>
      </c>
      <c r="B346" s="93" t="s">
        <v>338</v>
      </c>
      <c r="C346" s="7" t="s">
        <v>140</v>
      </c>
      <c r="D346" s="93" t="s">
        <v>419</v>
      </c>
      <c r="E346" s="93" t="s">
        <v>52</v>
      </c>
      <c r="F346" s="7">
        <v>1</v>
      </c>
      <c r="G346" s="7"/>
      <c r="H346" s="7"/>
      <c r="I346" s="24"/>
      <c r="J346" s="29"/>
    </row>
    <row r="347" spans="1:10" s="20" customFormat="1" x14ac:dyDescent="0.25">
      <c r="A347" s="73">
        <v>46097</v>
      </c>
      <c r="B347" s="93" t="s">
        <v>338</v>
      </c>
      <c r="C347" s="7" t="s">
        <v>136</v>
      </c>
      <c r="D347" s="93" t="s">
        <v>416</v>
      </c>
      <c r="E347" s="93" t="s">
        <v>52</v>
      </c>
      <c r="F347" s="7">
        <v>2</v>
      </c>
      <c r="G347" s="7"/>
      <c r="H347" s="7"/>
      <c r="I347" s="24"/>
      <c r="J347" s="29"/>
    </row>
    <row r="348" spans="1:10" s="20" customFormat="1" x14ac:dyDescent="0.25">
      <c r="A348" s="73">
        <v>46096</v>
      </c>
      <c r="B348" s="20" t="s">
        <v>554</v>
      </c>
      <c r="C348" s="6" t="s">
        <v>140</v>
      </c>
      <c r="D348" s="20" t="s">
        <v>419</v>
      </c>
      <c r="E348" s="20" t="s">
        <v>52</v>
      </c>
      <c r="F348" s="6">
        <v>1</v>
      </c>
      <c r="G348" s="6"/>
      <c r="H348" s="6"/>
      <c r="I348" s="22"/>
      <c r="J348" s="28" t="s">
        <v>325</v>
      </c>
    </row>
    <row r="349" spans="1:10" s="20" customFormat="1" x14ac:dyDescent="0.25">
      <c r="A349" s="73">
        <v>46096</v>
      </c>
      <c r="B349" s="20" t="s">
        <v>554</v>
      </c>
      <c r="C349" s="6" t="s">
        <v>154</v>
      </c>
      <c r="D349" s="20" t="s">
        <v>430</v>
      </c>
      <c r="E349" s="20" t="s">
        <v>52</v>
      </c>
      <c r="F349" s="6">
        <v>1</v>
      </c>
      <c r="G349" s="6"/>
      <c r="H349" s="6"/>
      <c r="I349" s="22"/>
      <c r="J349" s="28" t="s">
        <v>325</v>
      </c>
    </row>
    <row r="350" spans="1:10" s="20" customFormat="1" x14ac:dyDescent="0.25">
      <c r="A350" s="73">
        <v>46096</v>
      </c>
      <c r="B350" s="93" t="s">
        <v>546</v>
      </c>
      <c r="C350" s="7" t="s">
        <v>228</v>
      </c>
      <c r="D350" s="93" t="s">
        <v>510</v>
      </c>
      <c r="E350" s="93" t="s">
        <v>51</v>
      </c>
      <c r="F350" s="7">
        <v>1</v>
      </c>
      <c r="G350" s="7"/>
      <c r="H350" s="7"/>
      <c r="I350" s="24"/>
      <c r="J350" s="29"/>
    </row>
    <row r="351" spans="1:10" s="20" customFormat="1" x14ac:dyDescent="0.25">
      <c r="A351" s="14"/>
      <c r="C351" s="6"/>
      <c r="F351" s="6"/>
      <c r="G351" s="6"/>
      <c r="H351" s="6"/>
      <c r="I351" s="22"/>
      <c r="J351" s="10"/>
    </row>
    <row r="352" spans="1:10" s="20" customFormat="1" x14ac:dyDescent="0.25">
      <c r="A352" s="14"/>
      <c r="C352" s="6"/>
      <c r="F352" s="6"/>
      <c r="G352" s="6"/>
      <c r="H352" s="6"/>
      <c r="I352" s="22"/>
      <c r="J352" s="10"/>
    </row>
    <row r="353" spans="1:10" s="20" customFormat="1" x14ac:dyDescent="0.25">
      <c r="A353" s="14"/>
      <c r="C353" s="6"/>
      <c r="F353" s="6"/>
      <c r="G353" s="6"/>
      <c r="H353" s="6"/>
      <c r="I353" s="22"/>
      <c r="J353" s="10"/>
    </row>
    <row r="354" spans="1:10" s="20" customFormat="1" x14ac:dyDescent="0.25">
      <c r="A354" s="14"/>
      <c r="C354" s="6"/>
      <c r="F354" s="6"/>
      <c r="G354" s="6"/>
      <c r="H354" s="6"/>
      <c r="I354" s="22"/>
      <c r="J354" s="10"/>
    </row>
    <row r="355" spans="1:10" s="20" customFormat="1" x14ac:dyDescent="0.25">
      <c r="A355" s="14"/>
      <c r="C355" s="6"/>
      <c r="F355" s="6"/>
      <c r="G355" s="6"/>
      <c r="H355" s="6"/>
      <c r="I355" s="22"/>
      <c r="J355" s="10"/>
    </row>
    <row r="356" spans="1:10" s="20" customFormat="1" x14ac:dyDescent="0.25">
      <c r="A356" s="14"/>
      <c r="C356" s="6"/>
      <c r="F356" s="6"/>
      <c r="G356" s="6"/>
      <c r="H356" s="6"/>
      <c r="I356" s="22"/>
      <c r="J356" s="10"/>
    </row>
    <row r="357" spans="1:10" s="20" customFormat="1" x14ac:dyDescent="0.25">
      <c r="A357" s="14"/>
      <c r="C357" s="6"/>
      <c r="F357" s="6"/>
      <c r="G357" s="6"/>
      <c r="H357" s="6"/>
      <c r="I357" s="22"/>
      <c r="J357" s="10"/>
    </row>
    <row r="358" spans="1:10" s="20" customFormat="1" x14ac:dyDescent="0.25">
      <c r="A358" s="14"/>
      <c r="C358" s="6"/>
      <c r="F358" s="6"/>
      <c r="G358" s="6"/>
      <c r="H358" s="6"/>
      <c r="I358" s="22"/>
      <c r="J358" s="10"/>
    </row>
    <row r="359" spans="1:10" s="20" customFormat="1" x14ac:dyDescent="0.25">
      <c r="A359" s="14"/>
      <c r="C359" s="6"/>
      <c r="F359" s="6"/>
      <c r="G359" s="6"/>
      <c r="H359" s="6"/>
      <c r="I359" s="22"/>
      <c r="J359" s="10"/>
    </row>
    <row r="360" spans="1:10" s="20" customFormat="1" x14ac:dyDescent="0.25">
      <c r="A360" s="14"/>
      <c r="C360" s="6"/>
      <c r="F360" s="6"/>
      <c r="G360" s="6"/>
      <c r="H360" s="6"/>
      <c r="I360" s="22"/>
      <c r="J360" s="10"/>
    </row>
    <row r="361" spans="1:10" s="20" customFormat="1" x14ac:dyDescent="0.25">
      <c r="A361" s="14"/>
      <c r="C361" s="6"/>
      <c r="F361" s="6"/>
      <c r="G361" s="6"/>
      <c r="H361" s="6"/>
      <c r="I361" s="22"/>
      <c r="J361" s="10"/>
    </row>
    <row r="362" spans="1:10" s="20" customFormat="1" x14ac:dyDescent="0.25">
      <c r="A362" s="14"/>
      <c r="C362" s="6"/>
      <c r="F362" s="6"/>
      <c r="G362" s="6"/>
      <c r="H362" s="6"/>
      <c r="I362" s="22"/>
      <c r="J362" s="10"/>
    </row>
    <row r="363" spans="1:10" s="20" customFormat="1" x14ac:dyDescent="0.25">
      <c r="A363" s="14"/>
      <c r="C363" s="6"/>
      <c r="F363" s="6"/>
      <c r="G363" s="6"/>
      <c r="H363" s="6"/>
      <c r="I363" s="22"/>
      <c r="J363" s="10"/>
    </row>
    <row r="364" spans="1:10" s="20" customFormat="1" x14ac:dyDescent="0.25">
      <c r="A364" s="14"/>
      <c r="C364" s="6"/>
      <c r="F364" s="6"/>
      <c r="G364" s="6"/>
      <c r="H364" s="6"/>
      <c r="I364" s="22"/>
      <c r="J364" s="10"/>
    </row>
    <row r="365" spans="1:10" s="20" customFormat="1" x14ac:dyDescent="0.25">
      <c r="A365" s="14"/>
      <c r="C365" s="6"/>
      <c r="F365" s="6"/>
      <c r="G365" s="6"/>
      <c r="H365" s="6"/>
      <c r="I365" s="22"/>
      <c r="J365" s="10"/>
    </row>
    <row r="366" spans="1:10" s="20" customFormat="1" x14ac:dyDescent="0.25">
      <c r="A366" s="14"/>
      <c r="C366" s="6"/>
      <c r="F366" s="6"/>
      <c r="G366" s="6"/>
      <c r="H366" s="6"/>
      <c r="I366" s="22"/>
      <c r="J366" s="10"/>
    </row>
    <row r="367" spans="1:10" s="20" customFormat="1" x14ac:dyDescent="0.25">
      <c r="A367" s="14"/>
      <c r="C367" s="6"/>
      <c r="F367" s="6"/>
      <c r="G367" s="6"/>
      <c r="H367" s="6"/>
      <c r="I367" s="22"/>
      <c r="J367" s="10"/>
    </row>
    <row r="368" spans="1:10" s="20" customFormat="1" x14ac:dyDescent="0.25">
      <c r="A368" s="14"/>
      <c r="C368" s="6"/>
      <c r="F368" s="6"/>
      <c r="G368" s="6"/>
      <c r="H368" s="6"/>
      <c r="I368" s="22"/>
      <c r="J368" s="10"/>
    </row>
    <row r="369" spans="1:10" s="20" customFormat="1" x14ac:dyDescent="0.25">
      <c r="A369" s="14"/>
      <c r="C369" s="6"/>
      <c r="F369" s="6"/>
      <c r="G369" s="6"/>
      <c r="H369" s="6"/>
      <c r="I369" s="22"/>
      <c r="J369" s="10"/>
    </row>
    <row r="370" spans="1:10" s="20" customFormat="1" x14ac:dyDescent="0.25">
      <c r="A370" s="14"/>
      <c r="C370" s="6"/>
      <c r="F370" s="6"/>
      <c r="G370" s="6"/>
      <c r="H370" s="6"/>
      <c r="I370" s="22"/>
      <c r="J370" s="10"/>
    </row>
    <row r="371" spans="1:10" s="20" customFormat="1" x14ac:dyDescent="0.25">
      <c r="A371" s="14"/>
      <c r="C371" s="6"/>
      <c r="F371" s="6"/>
      <c r="G371" s="6"/>
      <c r="H371" s="6"/>
      <c r="I371" s="22"/>
      <c r="J371" s="10"/>
    </row>
    <row r="372" spans="1:10" s="20" customFormat="1" x14ac:dyDescent="0.25">
      <c r="A372" s="14"/>
      <c r="C372" s="6"/>
      <c r="F372" s="6"/>
      <c r="G372" s="6"/>
      <c r="H372" s="6"/>
      <c r="I372" s="22"/>
      <c r="J372" s="10"/>
    </row>
    <row r="373" spans="1:10" s="20" customFormat="1" x14ac:dyDescent="0.25">
      <c r="A373" s="14"/>
      <c r="C373" s="6"/>
      <c r="F373" s="6"/>
      <c r="G373" s="6"/>
      <c r="H373" s="6"/>
      <c r="I373" s="22"/>
      <c r="J373" s="10"/>
    </row>
    <row r="374" spans="1:10" s="20" customFormat="1" x14ac:dyDescent="0.25">
      <c r="A374" s="14"/>
      <c r="C374" s="6"/>
      <c r="F374" s="6"/>
      <c r="G374" s="6"/>
      <c r="H374" s="6"/>
      <c r="I374" s="22"/>
      <c r="J374" s="10"/>
    </row>
    <row r="375" spans="1:10" s="20" customFormat="1" x14ac:dyDescent="0.25">
      <c r="A375" s="14"/>
      <c r="C375" s="6"/>
      <c r="F375" s="6"/>
      <c r="G375" s="6"/>
      <c r="H375" s="6"/>
      <c r="I375" s="22"/>
      <c r="J375" s="10"/>
    </row>
    <row r="376" spans="1:10" s="20" customFormat="1" x14ac:dyDescent="0.25">
      <c r="A376" s="14"/>
      <c r="C376" s="6"/>
      <c r="F376" s="6"/>
      <c r="G376" s="6"/>
      <c r="H376" s="6"/>
      <c r="I376" s="22"/>
      <c r="J376" s="10"/>
    </row>
    <row r="377" spans="1:10" s="20" customFormat="1" x14ac:dyDescent="0.25">
      <c r="A377" s="14"/>
      <c r="C377" s="6"/>
      <c r="F377" s="6"/>
      <c r="G377" s="6"/>
      <c r="H377" s="6"/>
      <c r="I377" s="22"/>
      <c r="J377" s="10"/>
    </row>
    <row r="378" spans="1:10" s="20" customFormat="1" x14ac:dyDescent="0.25">
      <c r="A378" s="14"/>
      <c r="C378" s="6"/>
      <c r="F378" s="6"/>
      <c r="G378" s="6"/>
      <c r="H378" s="6"/>
      <c r="I378" s="22"/>
      <c r="J378" s="10"/>
    </row>
    <row r="379" spans="1:10" s="20" customFormat="1" x14ac:dyDescent="0.25">
      <c r="A379" s="14"/>
      <c r="C379" s="6"/>
      <c r="F379" s="6"/>
      <c r="G379" s="6"/>
      <c r="H379" s="6"/>
      <c r="I379" s="22"/>
      <c r="J379" s="10"/>
    </row>
    <row r="380" spans="1:10" s="20" customFormat="1" x14ac:dyDescent="0.25">
      <c r="A380" s="14"/>
      <c r="C380" s="6"/>
      <c r="F380" s="6"/>
      <c r="G380" s="6"/>
      <c r="H380" s="6"/>
      <c r="I380" s="22"/>
      <c r="J380" s="10"/>
    </row>
    <row r="381" spans="1:10" s="20" customFormat="1" x14ac:dyDescent="0.25">
      <c r="A381" s="14"/>
      <c r="C381" s="6"/>
      <c r="F381" s="6"/>
      <c r="G381" s="6"/>
      <c r="H381" s="6"/>
      <c r="I381" s="22"/>
      <c r="J381" s="10"/>
    </row>
    <row r="382" spans="1:10" s="20" customFormat="1" x14ac:dyDescent="0.25">
      <c r="A382" s="14"/>
      <c r="C382" s="6"/>
      <c r="F382" s="6"/>
      <c r="G382" s="6"/>
      <c r="H382" s="6"/>
      <c r="I382" s="22"/>
      <c r="J382" s="10"/>
    </row>
    <row r="383" spans="1:10" s="20" customFormat="1" x14ac:dyDescent="0.25">
      <c r="A383" s="14"/>
      <c r="C383" s="6"/>
      <c r="F383" s="6"/>
      <c r="G383" s="6"/>
      <c r="H383" s="6"/>
      <c r="I383" s="22"/>
      <c r="J383" s="10"/>
    </row>
    <row r="384" spans="1:10" s="20" customFormat="1" x14ac:dyDescent="0.25">
      <c r="A384" s="14"/>
      <c r="C384" s="6"/>
      <c r="F384" s="6"/>
      <c r="G384" s="6"/>
      <c r="H384" s="6"/>
      <c r="I384" s="22"/>
      <c r="J384" s="10"/>
    </row>
    <row r="385" spans="1:10" s="20" customFormat="1" x14ac:dyDescent="0.25">
      <c r="A385" s="14"/>
      <c r="C385" s="6"/>
      <c r="F385" s="6"/>
      <c r="G385" s="6"/>
      <c r="H385" s="6"/>
      <c r="I385" s="22"/>
      <c r="J385" s="10"/>
    </row>
    <row r="386" spans="1:10" s="20" customFormat="1" x14ac:dyDescent="0.25">
      <c r="A386" s="14"/>
      <c r="C386" s="6"/>
      <c r="F386" s="6"/>
      <c r="G386" s="6"/>
      <c r="H386" s="6"/>
      <c r="I386" s="22"/>
      <c r="J386" s="10"/>
    </row>
    <row r="387" spans="1:10" s="20" customFormat="1" x14ac:dyDescent="0.25">
      <c r="A387" s="14"/>
      <c r="C387" s="6"/>
      <c r="F387" s="6"/>
      <c r="G387" s="6"/>
      <c r="H387" s="6"/>
      <c r="I387" s="22"/>
      <c r="J387" s="10"/>
    </row>
    <row r="388" spans="1:10" s="20" customFormat="1" x14ac:dyDescent="0.25">
      <c r="A388" s="14"/>
      <c r="C388" s="6"/>
      <c r="F388" s="6"/>
      <c r="G388" s="6"/>
      <c r="H388" s="6"/>
      <c r="I388" s="22"/>
      <c r="J388" s="10"/>
    </row>
    <row r="389" spans="1:10" s="20" customFormat="1" x14ac:dyDescent="0.25">
      <c r="A389" s="14"/>
      <c r="C389" s="6"/>
      <c r="F389" s="6"/>
      <c r="G389" s="6"/>
      <c r="H389" s="6"/>
      <c r="I389" s="22"/>
      <c r="J389" s="10"/>
    </row>
    <row r="390" spans="1:10" s="20" customFormat="1" x14ac:dyDescent="0.25">
      <c r="A390" s="14"/>
      <c r="C390" s="6"/>
      <c r="F390" s="6"/>
      <c r="G390" s="6"/>
      <c r="H390" s="6"/>
      <c r="I390" s="22"/>
      <c r="J390" s="10"/>
    </row>
    <row r="391" spans="1:10" s="20" customFormat="1" x14ac:dyDescent="0.25">
      <c r="A391" s="14"/>
      <c r="C391" s="6"/>
      <c r="F391" s="6"/>
      <c r="G391" s="6"/>
      <c r="H391" s="6"/>
      <c r="I391" s="22"/>
      <c r="J391" s="10"/>
    </row>
    <row r="392" spans="1:10" s="20" customFormat="1" x14ac:dyDescent="0.25">
      <c r="A392" s="14"/>
      <c r="C392" s="6"/>
      <c r="F392" s="6"/>
      <c r="G392" s="6"/>
      <c r="H392" s="6"/>
      <c r="I392" s="22"/>
      <c r="J392" s="10"/>
    </row>
    <row r="393" spans="1:10" s="20" customFormat="1" x14ac:dyDescent="0.25">
      <c r="A393" s="14"/>
      <c r="C393" s="6"/>
      <c r="F393" s="6"/>
      <c r="G393" s="6"/>
      <c r="H393" s="6"/>
      <c r="I393" s="22"/>
      <c r="J393" s="10"/>
    </row>
    <row r="394" spans="1:10" s="20" customFormat="1" x14ac:dyDescent="0.25">
      <c r="A394" s="14"/>
      <c r="C394" s="6"/>
      <c r="F394" s="6"/>
      <c r="G394" s="6"/>
      <c r="H394" s="6"/>
      <c r="I394" s="22"/>
      <c r="J394" s="10"/>
    </row>
    <row r="395" spans="1:10" s="20" customFormat="1" x14ac:dyDescent="0.25">
      <c r="A395" s="14"/>
      <c r="C395" s="6"/>
      <c r="F395" s="6"/>
      <c r="G395" s="6"/>
      <c r="H395" s="6"/>
      <c r="I395" s="22"/>
      <c r="J395" s="10"/>
    </row>
    <row r="396" spans="1:10" s="20" customFormat="1" x14ac:dyDescent="0.25">
      <c r="A396" s="14"/>
      <c r="C396" s="6"/>
      <c r="F396" s="6"/>
      <c r="G396" s="6"/>
      <c r="H396" s="6"/>
      <c r="I396" s="22"/>
      <c r="J396" s="10"/>
    </row>
    <row r="397" spans="1:10" s="20" customFormat="1" x14ac:dyDescent="0.25">
      <c r="A397" s="14"/>
      <c r="C397" s="6"/>
      <c r="F397" s="6"/>
      <c r="G397" s="6"/>
      <c r="H397" s="6"/>
      <c r="I397" s="22"/>
      <c r="J397" s="10"/>
    </row>
    <row r="398" spans="1:10" s="20" customFormat="1" x14ac:dyDescent="0.25">
      <c r="A398" s="14"/>
      <c r="C398" s="6"/>
      <c r="F398" s="6"/>
      <c r="G398" s="6"/>
      <c r="H398" s="6"/>
      <c r="I398" s="22"/>
      <c r="J398" s="10"/>
    </row>
    <row r="399" spans="1:10" s="20" customFormat="1" x14ac:dyDescent="0.25">
      <c r="A399" s="14"/>
      <c r="C399" s="6"/>
      <c r="F399" s="6"/>
      <c r="G399" s="6"/>
      <c r="H399" s="6"/>
      <c r="I399" s="22"/>
      <c r="J399" s="10"/>
    </row>
    <row r="400" spans="1:10" s="20" customFormat="1" x14ac:dyDescent="0.25">
      <c r="A400" s="14"/>
      <c r="C400" s="6"/>
      <c r="F400" s="6"/>
      <c r="G400" s="6"/>
      <c r="H400" s="6"/>
      <c r="I400" s="22"/>
      <c r="J400" s="10"/>
    </row>
    <row r="401" spans="1:10" s="20" customFormat="1" x14ac:dyDescent="0.25">
      <c r="A401" s="14"/>
      <c r="C401" s="6"/>
      <c r="F401" s="6"/>
      <c r="G401" s="6"/>
      <c r="H401" s="6"/>
      <c r="I401" s="22"/>
      <c r="J401" s="10"/>
    </row>
    <row r="402" spans="1:10" s="20" customFormat="1" x14ac:dyDescent="0.25">
      <c r="A402" s="14"/>
      <c r="C402" s="6"/>
      <c r="F402" s="6"/>
      <c r="G402" s="6"/>
      <c r="H402" s="6"/>
      <c r="I402" s="22"/>
      <c r="J402" s="10"/>
    </row>
    <row r="403" spans="1:10" s="20" customFormat="1" x14ac:dyDescent="0.25">
      <c r="A403" s="14"/>
      <c r="C403" s="6"/>
      <c r="F403" s="6"/>
      <c r="G403" s="6"/>
      <c r="H403" s="6"/>
      <c r="I403" s="22"/>
      <c r="J403" s="10"/>
    </row>
    <row r="404" spans="1:10" s="20" customFormat="1" x14ac:dyDescent="0.25">
      <c r="A404" s="14"/>
      <c r="C404" s="6"/>
      <c r="F404" s="6"/>
      <c r="G404" s="6"/>
      <c r="H404" s="6"/>
      <c r="I404" s="22"/>
      <c r="J404" s="10"/>
    </row>
    <row r="405" spans="1:10" s="20" customFormat="1" x14ac:dyDescent="0.25">
      <c r="A405" s="14"/>
      <c r="C405" s="6"/>
      <c r="F405" s="6"/>
      <c r="G405" s="6"/>
      <c r="H405" s="6"/>
      <c r="I405" s="22"/>
      <c r="J405" s="10"/>
    </row>
    <row r="406" spans="1:10" s="20" customFormat="1" x14ac:dyDescent="0.25">
      <c r="A406" s="14"/>
      <c r="C406" s="6"/>
      <c r="F406" s="6"/>
      <c r="G406" s="6"/>
      <c r="H406" s="6"/>
      <c r="I406" s="22"/>
      <c r="J406" s="10"/>
    </row>
    <row r="407" spans="1:10" s="20" customFormat="1" x14ac:dyDescent="0.25">
      <c r="A407" s="14"/>
      <c r="C407" s="6"/>
      <c r="F407" s="6"/>
      <c r="G407" s="6"/>
      <c r="H407" s="6"/>
      <c r="I407" s="22"/>
      <c r="J407" s="10"/>
    </row>
    <row r="408" spans="1:10" s="20" customFormat="1" x14ac:dyDescent="0.25">
      <c r="A408" s="14"/>
      <c r="C408" s="6"/>
      <c r="F408" s="6"/>
      <c r="G408" s="6"/>
      <c r="H408" s="6"/>
      <c r="I408" s="22"/>
      <c r="J408" s="10"/>
    </row>
    <row r="409" spans="1:10" s="20" customFormat="1" x14ac:dyDescent="0.25">
      <c r="A409" s="14"/>
      <c r="C409" s="6"/>
      <c r="F409" s="6"/>
      <c r="G409" s="6"/>
      <c r="H409" s="6"/>
      <c r="I409" s="22"/>
      <c r="J409" s="10"/>
    </row>
    <row r="410" spans="1:10" s="20" customFormat="1" x14ac:dyDescent="0.25">
      <c r="A410" s="51"/>
      <c r="C410" s="6"/>
      <c r="F410" s="6"/>
      <c r="G410" s="6"/>
      <c r="H410" s="6"/>
      <c r="I410" s="22"/>
      <c r="J410" s="10"/>
    </row>
    <row r="411" spans="1:10" s="20" customFormat="1" x14ac:dyDescent="0.25">
      <c r="A411" s="14"/>
      <c r="C411" s="6"/>
      <c r="F411" s="6"/>
      <c r="G411" s="6"/>
      <c r="H411" s="6"/>
      <c r="I411" s="22"/>
      <c r="J411" s="10"/>
    </row>
    <row r="412" spans="1:10" s="20" customFormat="1" x14ac:dyDescent="0.25">
      <c r="A412" s="14"/>
      <c r="C412" s="6"/>
      <c r="F412" s="6"/>
      <c r="G412" s="6"/>
      <c r="H412" s="6"/>
      <c r="I412" s="22"/>
      <c r="J412" s="10"/>
    </row>
    <row r="413" spans="1:10" s="20" customFormat="1" x14ac:dyDescent="0.25">
      <c r="A413" s="14"/>
      <c r="C413" s="6"/>
      <c r="F413" s="6"/>
      <c r="G413" s="6"/>
      <c r="H413" s="6"/>
      <c r="I413" s="22"/>
      <c r="J413" s="10"/>
    </row>
    <row r="414" spans="1:10" s="20" customFormat="1" x14ac:dyDescent="0.25">
      <c r="A414" s="14"/>
      <c r="C414" s="6"/>
      <c r="F414" s="6"/>
      <c r="G414" s="6"/>
      <c r="H414" s="6"/>
      <c r="I414" s="22"/>
      <c r="J414" s="10"/>
    </row>
    <row r="415" spans="1:10" s="20" customFormat="1" x14ac:dyDescent="0.25">
      <c r="A415" s="14"/>
      <c r="C415" s="6"/>
      <c r="F415" s="6"/>
      <c r="G415" s="6"/>
      <c r="H415" s="6"/>
      <c r="I415" s="22"/>
      <c r="J415" s="10"/>
    </row>
    <row r="416" spans="1:10" s="20" customFormat="1" x14ac:dyDescent="0.25">
      <c r="A416" s="14"/>
      <c r="C416" s="6"/>
      <c r="F416" s="6"/>
      <c r="G416" s="6"/>
      <c r="H416" s="6"/>
      <c r="I416" s="22"/>
      <c r="J416" s="10"/>
    </row>
    <row r="417" spans="1:10" s="20" customFormat="1" x14ac:dyDescent="0.25">
      <c r="A417" s="14"/>
      <c r="C417" s="6"/>
      <c r="F417" s="6"/>
      <c r="G417" s="6"/>
      <c r="H417" s="6"/>
      <c r="I417" s="22"/>
      <c r="J417" s="10"/>
    </row>
    <row r="418" spans="1:10" s="20" customFormat="1" x14ac:dyDescent="0.25">
      <c r="A418" s="14"/>
      <c r="C418" s="6"/>
      <c r="F418" s="6"/>
      <c r="G418" s="6"/>
      <c r="H418" s="6"/>
      <c r="I418" s="22"/>
      <c r="J418" s="10"/>
    </row>
    <row r="419" spans="1:10" s="20" customFormat="1" x14ac:dyDescent="0.25">
      <c r="A419" s="14"/>
      <c r="C419" s="6"/>
      <c r="F419" s="6"/>
      <c r="G419" s="6"/>
      <c r="H419" s="6"/>
      <c r="I419" s="22"/>
      <c r="J419" s="10"/>
    </row>
    <row r="420" spans="1:10" s="20" customFormat="1" x14ac:dyDescent="0.25">
      <c r="A420" s="14"/>
      <c r="C420" s="6"/>
      <c r="F420" s="6"/>
      <c r="G420" s="6"/>
      <c r="H420" s="6"/>
      <c r="I420" s="22"/>
      <c r="J420" s="10"/>
    </row>
    <row r="421" spans="1:10" s="20" customFormat="1" x14ac:dyDescent="0.25">
      <c r="A421" s="14"/>
      <c r="C421" s="6"/>
      <c r="F421" s="6"/>
      <c r="G421" s="6"/>
      <c r="H421" s="6"/>
      <c r="I421" s="22"/>
      <c r="J421" s="10"/>
    </row>
    <row r="422" spans="1:10" s="20" customFormat="1" x14ac:dyDescent="0.25">
      <c r="A422" s="14"/>
      <c r="C422" s="6"/>
      <c r="F422" s="6"/>
      <c r="G422" s="6"/>
      <c r="H422" s="6"/>
      <c r="I422" s="22"/>
      <c r="J422" s="10"/>
    </row>
    <row r="423" spans="1:10" s="20" customFormat="1" x14ac:dyDescent="0.25">
      <c r="A423" s="14"/>
      <c r="C423" s="6"/>
      <c r="F423" s="6"/>
      <c r="G423" s="6"/>
      <c r="H423" s="6"/>
      <c r="I423" s="22"/>
      <c r="J423" s="10"/>
    </row>
    <row r="424" spans="1:10" s="20" customFormat="1" x14ac:dyDescent="0.25">
      <c r="A424" s="14"/>
      <c r="C424" s="6"/>
      <c r="F424" s="6"/>
      <c r="G424" s="6"/>
      <c r="H424" s="6"/>
      <c r="I424" s="22"/>
      <c r="J424" s="10"/>
    </row>
    <row r="425" spans="1:10" s="20" customFormat="1" x14ac:dyDescent="0.25">
      <c r="A425" s="14"/>
      <c r="C425" s="6"/>
      <c r="F425" s="6"/>
      <c r="G425" s="6"/>
      <c r="H425" s="6"/>
      <c r="I425" s="22"/>
      <c r="J425" s="10"/>
    </row>
    <row r="426" spans="1:10" s="20" customFormat="1" x14ac:dyDescent="0.25">
      <c r="A426" s="14"/>
      <c r="C426" s="6"/>
      <c r="F426" s="6"/>
      <c r="G426" s="6"/>
      <c r="H426" s="6"/>
      <c r="I426" s="22"/>
      <c r="J426" s="10"/>
    </row>
    <row r="427" spans="1:10" s="20" customFormat="1" x14ac:dyDescent="0.25">
      <c r="A427" s="14"/>
      <c r="C427" s="6"/>
      <c r="F427" s="6"/>
      <c r="G427" s="6"/>
      <c r="H427" s="6"/>
      <c r="I427" s="22"/>
      <c r="J427" s="10"/>
    </row>
    <row r="428" spans="1:10" s="20" customFormat="1" x14ac:dyDescent="0.25">
      <c r="A428" s="14"/>
      <c r="C428" s="6"/>
      <c r="F428" s="6"/>
      <c r="G428" s="6"/>
      <c r="H428" s="6"/>
      <c r="I428" s="22"/>
      <c r="J428" s="10"/>
    </row>
    <row r="429" spans="1:10" s="20" customFormat="1" x14ac:dyDescent="0.25">
      <c r="A429" s="14"/>
      <c r="C429" s="6"/>
      <c r="F429" s="6"/>
      <c r="G429" s="6"/>
      <c r="H429" s="6"/>
      <c r="I429" s="22"/>
      <c r="J429" s="10"/>
    </row>
    <row r="430" spans="1:10" s="20" customFormat="1" x14ac:dyDescent="0.25">
      <c r="A430" s="14"/>
      <c r="C430" s="6"/>
      <c r="F430" s="6"/>
      <c r="G430" s="6"/>
      <c r="H430" s="6"/>
      <c r="I430" s="22"/>
      <c r="J430" s="10"/>
    </row>
    <row r="431" spans="1:10" s="20" customFormat="1" x14ac:dyDescent="0.25">
      <c r="A431" s="14"/>
      <c r="C431" s="6"/>
      <c r="F431" s="6"/>
      <c r="G431" s="6"/>
      <c r="H431" s="6"/>
      <c r="I431" s="22"/>
      <c r="J431" s="10"/>
    </row>
    <row r="432" spans="1:10" s="20" customFormat="1" x14ac:dyDescent="0.25">
      <c r="A432" s="14"/>
      <c r="C432" s="6"/>
      <c r="F432" s="6"/>
      <c r="G432" s="6"/>
      <c r="H432" s="6"/>
      <c r="I432" s="22"/>
      <c r="J432" s="10"/>
    </row>
    <row r="433" spans="1:10" s="20" customFormat="1" x14ac:dyDescent="0.25">
      <c r="A433" s="14"/>
      <c r="C433" s="6"/>
      <c r="F433" s="6"/>
      <c r="G433" s="6"/>
      <c r="H433" s="6"/>
      <c r="I433" s="22"/>
      <c r="J433" s="10"/>
    </row>
    <row r="434" spans="1:10" s="20" customFormat="1" x14ac:dyDescent="0.25">
      <c r="A434" s="14"/>
      <c r="C434" s="6"/>
      <c r="F434" s="6"/>
      <c r="G434" s="6"/>
      <c r="H434" s="6"/>
      <c r="I434" s="22"/>
      <c r="J434" s="10"/>
    </row>
    <row r="435" spans="1:10" s="20" customFormat="1" x14ac:dyDescent="0.25">
      <c r="A435" s="14"/>
      <c r="C435" s="6"/>
      <c r="F435" s="6"/>
      <c r="G435" s="6"/>
      <c r="H435" s="6"/>
      <c r="I435" s="22"/>
      <c r="J435" s="10"/>
    </row>
    <row r="436" spans="1:10" s="20" customFormat="1" x14ac:dyDescent="0.25">
      <c r="A436" s="14"/>
      <c r="C436" s="6"/>
      <c r="F436" s="6"/>
      <c r="G436" s="6"/>
      <c r="H436" s="6"/>
      <c r="I436" s="22"/>
      <c r="J436" s="10"/>
    </row>
    <row r="437" spans="1:10" s="20" customFormat="1" x14ac:dyDescent="0.25">
      <c r="A437" s="14"/>
      <c r="C437" s="6"/>
      <c r="F437" s="6"/>
      <c r="G437" s="6"/>
      <c r="H437" s="6"/>
      <c r="I437" s="22"/>
      <c r="J437" s="10"/>
    </row>
    <row r="438" spans="1:10" s="20" customFormat="1" x14ac:dyDescent="0.25">
      <c r="A438" s="14"/>
      <c r="C438" s="6"/>
      <c r="F438" s="6"/>
      <c r="G438" s="6"/>
      <c r="H438" s="6"/>
      <c r="I438" s="22"/>
      <c r="J438" s="10"/>
    </row>
    <row r="439" spans="1:10" s="20" customFormat="1" x14ac:dyDescent="0.25">
      <c r="A439" s="14"/>
      <c r="C439" s="6"/>
      <c r="F439" s="6"/>
      <c r="G439" s="6"/>
      <c r="H439" s="6"/>
      <c r="I439" s="22"/>
      <c r="J439" s="10"/>
    </row>
    <row r="440" spans="1:10" s="20" customFormat="1" x14ac:dyDescent="0.25">
      <c r="A440" s="14"/>
      <c r="C440" s="6"/>
      <c r="F440" s="6"/>
      <c r="G440" s="6"/>
      <c r="H440" s="6"/>
      <c r="I440" s="22"/>
      <c r="J440" s="10"/>
    </row>
    <row r="441" spans="1:10" s="20" customFormat="1" x14ac:dyDescent="0.25">
      <c r="A441" s="14"/>
      <c r="C441" s="6"/>
      <c r="F441" s="6"/>
      <c r="G441" s="6"/>
      <c r="H441" s="6"/>
      <c r="I441" s="22"/>
      <c r="J441" s="10"/>
    </row>
    <row r="442" spans="1:10" s="20" customFormat="1" x14ac:dyDescent="0.25">
      <c r="A442" s="14"/>
      <c r="C442" s="6"/>
      <c r="F442" s="6"/>
      <c r="G442" s="6"/>
      <c r="H442" s="6"/>
      <c r="I442" s="22"/>
      <c r="J442" s="10"/>
    </row>
    <row r="443" spans="1:10" s="20" customFormat="1" x14ac:dyDescent="0.25">
      <c r="A443" s="14"/>
      <c r="C443" s="6"/>
      <c r="F443" s="6"/>
      <c r="G443" s="6"/>
      <c r="H443" s="6"/>
      <c r="I443" s="22"/>
      <c r="J443" s="10"/>
    </row>
    <row r="444" spans="1:10" s="20" customFormat="1" x14ac:dyDescent="0.25">
      <c r="A444" s="14"/>
      <c r="C444" s="6"/>
      <c r="F444" s="6"/>
      <c r="G444" s="6"/>
      <c r="H444" s="6"/>
      <c r="I444" s="22"/>
      <c r="J444" s="10"/>
    </row>
    <row r="445" spans="1:10" s="20" customFormat="1" x14ac:dyDescent="0.25">
      <c r="A445" s="14"/>
      <c r="C445" s="6"/>
      <c r="F445" s="6"/>
      <c r="G445" s="6"/>
      <c r="H445" s="6"/>
      <c r="I445" s="22"/>
      <c r="J445" s="10"/>
    </row>
    <row r="446" spans="1:10" s="20" customFormat="1" x14ac:dyDescent="0.25">
      <c r="A446" s="14"/>
      <c r="C446" s="6"/>
      <c r="F446" s="6"/>
      <c r="G446" s="6"/>
      <c r="H446" s="6"/>
      <c r="I446" s="22"/>
      <c r="J446" s="10"/>
    </row>
    <row r="447" spans="1:10" s="20" customFormat="1" x14ac:dyDescent="0.25">
      <c r="A447" s="14"/>
      <c r="C447" s="6"/>
      <c r="F447" s="6"/>
      <c r="G447" s="6"/>
      <c r="H447" s="6"/>
      <c r="I447" s="22"/>
      <c r="J447" s="10"/>
    </row>
    <row r="448" spans="1:10" s="20" customFormat="1" x14ac:dyDescent="0.25">
      <c r="A448" s="14"/>
      <c r="C448" s="6"/>
      <c r="F448" s="6"/>
      <c r="G448" s="6"/>
      <c r="H448" s="6"/>
      <c r="I448" s="22"/>
      <c r="J448" s="10"/>
    </row>
    <row r="449" spans="1:10" s="20" customFormat="1" x14ac:dyDescent="0.25">
      <c r="A449" s="14"/>
      <c r="C449" s="6"/>
      <c r="F449" s="6"/>
      <c r="G449" s="6"/>
      <c r="H449" s="6"/>
      <c r="I449" s="22"/>
      <c r="J449" s="10"/>
    </row>
    <row r="450" spans="1:10" s="20" customFormat="1" x14ac:dyDescent="0.25">
      <c r="A450" s="14"/>
      <c r="C450" s="6"/>
      <c r="F450" s="6"/>
      <c r="G450" s="6"/>
      <c r="H450" s="6"/>
      <c r="I450" s="22"/>
      <c r="J450" s="10"/>
    </row>
    <row r="451" spans="1:10" s="20" customFormat="1" x14ac:dyDescent="0.25">
      <c r="A451" s="14"/>
      <c r="C451" s="6"/>
      <c r="F451" s="6"/>
      <c r="G451" s="6"/>
      <c r="H451" s="6"/>
      <c r="I451" s="22"/>
      <c r="J451" s="10"/>
    </row>
    <row r="452" spans="1:10" s="20" customFormat="1" x14ac:dyDescent="0.25">
      <c r="A452" s="14"/>
      <c r="C452" s="6"/>
      <c r="F452" s="6"/>
      <c r="G452" s="6"/>
      <c r="H452" s="6"/>
      <c r="I452" s="22"/>
      <c r="J452" s="10"/>
    </row>
    <row r="453" spans="1:10" s="20" customFormat="1" x14ac:dyDescent="0.25">
      <c r="A453" s="14"/>
      <c r="C453" s="6"/>
      <c r="F453" s="6"/>
      <c r="G453" s="6"/>
      <c r="H453" s="6"/>
      <c r="I453" s="22"/>
      <c r="J453" s="10"/>
    </row>
    <row r="454" spans="1:10" s="20" customFormat="1" x14ac:dyDescent="0.25">
      <c r="A454" s="14"/>
      <c r="C454" s="6"/>
      <c r="F454" s="6"/>
      <c r="G454" s="6"/>
      <c r="H454" s="6"/>
      <c r="I454" s="22"/>
      <c r="J454" s="10"/>
    </row>
    <row r="455" spans="1:10" s="20" customFormat="1" x14ac:dyDescent="0.25">
      <c r="A455" s="14"/>
      <c r="C455" s="6"/>
      <c r="F455" s="6"/>
      <c r="G455" s="6"/>
      <c r="H455" s="6"/>
      <c r="I455" s="22"/>
      <c r="J455" s="10"/>
    </row>
    <row r="456" spans="1:10" s="20" customFormat="1" x14ac:dyDescent="0.25">
      <c r="A456" s="14"/>
      <c r="C456" s="6"/>
      <c r="F456" s="6"/>
      <c r="G456" s="6"/>
      <c r="H456" s="6"/>
      <c r="I456" s="22"/>
      <c r="J456" s="10"/>
    </row>
    <row r="457" spans="1:10" s="20" customFormat="1" x14ac:dyDescent="0.25">
      <c r="A457" s="14"/>
      <c r="C457" s="6"/>
      <c r="F457" s="6"/>
      <c r="G457" s="6"/>
      <c r="H457" s="6"/>
      <c r="I457" s="22"/>
      <c r="J457" s="10"/>
    </row>
    <row r="458" spans="1:10" s="20" customFormat="1" x14ac:dyDescent="0.25">
      <c r="A458" s="14"/>
      <c r="C458" s="6"/>
      <c r="F458" s="6"/>
      <c r="G458" s="6"/>
      <c r="H458" s="6"/>
      <c r="I458" s="22"/>
      <c r="J458" s="10"/>
    </row>
    <row r="459" spans="1:10" s="20" customFormat="1" x14ac:dyDescent="0.25">
      <c r="A459" s="14"/>
      <c r="C459" s="6"/>
      <c r="F459" s="6"/>
      <c r="G459" s="6"/>
      <c r="H459" s="6"/>
      <c r="I459" s="22"/>
      <c r="J459" s="10"/>
    </row>
    <row r="460" spans="1:10" s="20" customFormat="1" x14ac:dyDescent="0.25">
      <c r="A460" s="14"/>
      <c r="C460" s="6"/>
      <c r="F460" s="6"/>
      <c r="G460" s="6"/>
      <c r="H460" s="6"/>
      <c r="I460" s="22"/>
      <c r="J460" s="10"/>
    </row>
    <row r="461" spans="1:10" s="20" customFormat="1" x14ac:dyDescent="0.25">
      <c r="A461" s="14"/>
      <c r="C461" s="6"/>
      <c r="F461" s="6"/>
      <c r="G461" s="6"/>
      <c r="H461" s="6"/>
      <c r="I461" s="22"/>
      <c r="J461" s="10"/>
    </row>
    <row r="462" spans="1:10" s="20" customFormat="1" x14ac:dyDescent="0.25">
      <c r="A462" s="14"/>
      <c r="C462" s="6"/>
      <c r="F462" s="6"/>
      <c r="G462" s="6"/>
      <c r="H462" s="6"/>
      <c r="I462" s="22"/>
      <c r="J462" s="10"/>
    </row>
    <row r="463" spans="1:10" s="20" customFormat="1" x14ac:dyDescent="0.25">
      <c r="A463" s="14"/>
      <c r="C463" s="6"/>
      <c r="F463" s="6"/>
      <c r="G463" s="6"/>
      <c r="H463" s="6"/>
      <c r="I463" s="22"/>
      <c r="J463" s="10"/>
    </row>
    <row r="464" spans="1:10" s="20" customFormat="1" x14ac:dyDescent="0.25">
      <c r="A464" s="14"/>
      <c r="C464" s="6"/>
      <c r="F464" s="6"/>
      <c r="G464" s="6"/>
      <c r="H464" s="6"/>
      <c r="I464" s="22"/>
      <c r="J464" s="10"/>
    </row>
    <row r="465" spans="1:10" s="20" customFormat="1" x14ac:dyDescent="0.25">
      <c r="A465" s="14"/>
      <c r="C465" s="6"/>
      <c r="F465" s="6"/>
      <c r="G465" s="6"/>
      <c r="H465" s="6"/>
      <c r="I465" s="22"/>
      <c r="J465" s="10"/>
    </row>
    <row r="466" spans="1:10" s="20" customFormat="1" x14ac:dyDescent="0.25">
      <c r="A466" s="14"/>
      <c r="C466" s="6"/>
      <c r="F466" s="6"/>
      <c r="G466" s="6"/>
      <c r="H466" s="6"/>
      <c r="I466" s="22"/>
      <c r="J466" s="10"/>
    </row>
    <row r="467" spans="1:10" s="20" customFormat="1" x14ac:dyDescent="0.25">
      <c r="A467" s="14"/>
      <c r="C467" s="6"/>
      <c r="F467" s="6"/>
      <c r="G467" s="6"/>
      <c r="H467" s="6"/>
      <c r="I467" s="22"/>
      <c r="J467" s="10"/>
    </row>
    <row r="468" spans="1:10" s="20" customFormat="1" x14ac:dyDescent="0.25">
      <c r="A468" s="14"/>
      <c r="C468" s="6"/>
      <c r="F468" s="6"/>
      <c r="G468" s="6"/>
      <c r="H468" s="6"/>
      <c r="I468" s="22"/>
      <c r="J468" s="10"/>
    </row>
    <row r="469" spans="1:10" s="20" customFormat="1" x14ac:dyDescent="0.25">
      <c r="A469" s="14"/>
      <c r="C469" s="6"/>
      <c r="F469" s="6"/>
      <c r="G469" s="6"/>
      <c r="H469" s="6"/>
      <c r="I469" s="22"/>
      <c r="J469" s="10"/>
    </row>
    <row r="470" spans="1:10" s="20" customFormat="1" x14ac:dyDescent="0.25">
      <c r="A470" s="14"/>
      <c r="C470" s="6"/>
      <c r="F470" s="6"/>
      <c r="G470" s="6"/>
      <c r="H470" s="6"/>
      <c r="I470" s="22"/>
      <c r="J470" s="10"/>
    </row>
    <row r="471" spans="1:10" s="20" customFormat="1" x14ac:dyDescent="0.25">
      <c r="A471" s="14"/>
      <c r="C471" s="6"/>
      <c r="F471" s="6"/>
      <c r="G471" s="6"/>
      <c r="H471" s="6"/>
      <c r="I471" s="22"/>
      <c r="J471" s="10"/>
    </row>
    <row r="472" spans="1:10" s="20" customFormat="1" x14ac:dyDescent="0.25">
      <c r="A472" s="14"/>
      <c r="C472" s="6"/>
      <c r="F472" s="6"/>
      <c r="G472" s="6"/>
      <c r="H472" s="6"/>
      <c r="I472" s="22"/>
      <c r="J472" s="10"/>
    </row>
    <row r="473" spans="1:10" s="20" customFormat="1" x14ac:dyDescent="0.25">
      <c r="A473" s="14"/>
      <c r="C473" s="6"/>
      <c r="F473" s="6"/>
      <c r="G473" s="6"/>
      <c r="H473" s="6"/>
      <c r="I473" s="22"/>
      <c r="J473" s="10"/>
    </row>
    <row r="474" spans="1:10" s="20" customFormat="1" x14ac:dyDescent="0.25">
      <c r="A474" s="14"/>
      <c r="C474" s="6"/>
      <c r="F474" s="6"/>
      <c r="G474" s="6"/>
      <c r="H474" s="6"/>
      <c r="I474" s="22"/>
      <c r="J474" s="10"/>
    </row>
    <row r="475" spans="1:10" s="20" customFormat="1" x14ac:dyDescent="0.25">
      <c r="A475" s="14"/>
      <c r="C475" s="6"/>
      <c r="F475" s="6"/>
      <c r="G475" s="6"/>
      <c r="H475" s="6"/>
      <c r="I475" s="22"/>
      <c r="J475" s="10"/>
    </row>
    <row r="476" spans="1:10" s="20" customFormat="1" x14ac:dyDescent="0.25">
      <c r="A476" s="14"/>
      <c r="C476" s="6"/>
      <c r="F476" s="6"/>
      <c r="G476" s="6"/>
      <c r="H476" s="6"/>
      <c r="I476" s="22"/>
      <c r="J476" s="10"/>
    </row>
    <row r="477" spans="1:10" s="20" customFormat="1" x14ac:dyDescent="0.25">
      <c r="A477" s="14"/>
      <c r="C477" s="6"/>
      <c r="F477" s="6"/>
      <c r="G477" s="6"/>
      <c r="H477" s="6"/>
      <c r="I477" s="22"/>
      <c r="J477" s="10"/>
    </row>
    <row r="478" spans="1:10" s="20" customFormat="1" x14ac:dyDescent="0.25">
      <c r="A478" s="14"/>
      <c r="C478" s="6"/>
      <c r="F478" s="6"/>
      <c r="G478" s="6"/>
      <c r="H478" s="6"/>
      <c r="I478" s="22"/>
      <c r="J478" s="10"/>
    </row>
    <row r="479" spans="1:10" s="20" customFormat="1" x14ac:dyDescent="0.25">
      <c r="A479" s="14"/>
      <c r="C479" s="6"/>
      <c r="F479" s="6"/>
      <c r="G479" s="6"/>
      <c r="H479" s="6"/>
      <c r="I479" s="22"/>
      <c r="J479" s="10"/>
    </row>
    <row r="480" spans="1:10" s="20" customFormat="1" x14ac:dyDescent="0.25">
      <c r="A480" s="14"/>
      <c r="C480" s="6"/>
      <c r="F480" s="6"/>
      <c r="G480" s="6"/>
      <c r="H480" s="6"/>
      <c r="I480" s="22"/>
      <c r="J480" s="10"/>
    </row>
    <row r="481" spans="1:10" s="20" customFormat="1" x14ac:dyDescent="0.25">
      <c r="A481" s="14"/>
      <c r="C481" s="6"/>
      <c r="F481" s="6"/>
      <c r="G481" s="6"/>
      <c r="H481" s="6"/>
      <c r="I481" s="22"/>
      <c r="J481" s="10"/>
    </row>
    <row r="482" spans="1:10" s="20" customFormat="1" x14ac:dyDescent="0.25">
      <c r="A482" s="14"/>
      <c r="C482" s="6"/>
      <c r="F482" s="6"/>
      <c r="G482" s="6"/>
      <c r="H482" s="6"/>
      <c r="I482" s="22"/>
      <c r="J482" s="10"/>
    </row>
    <row r="483" spans="1:10" s="20" customFormat="1" x14ac:dyDescent="0.25">
      <c r="A483" s="14"/>
      <c r="C483" s="6"/>
      <c r="F483" s="6"/>
      <c r="G483" s="6"/>
      <c r="H483" s="6"/>
      <c r="I483" s="22"/>
      <c r="J483" s="10"/>
    </row>
    <row r="484" spans="1:10" s="20" customFormat="1" x14ac:dyDescent="0.25">
      <c r="A484" s="14"/>
      <c r="C484" s="6"/>
      <c r="F484" s="6"/>
      <c r="G484" s="6"/>
      <c r="H484" s="6"/>
      <c r="I484" s="22"/>
      <c r="J484" s="10"/>
    </row>
    <row r="485" spans="1:10" s="20" customFormat="1" x14ac:dyDescent="0.25">
      <c r="A485" s="14"/>
      <c r="C485" s="6"/>
      <c r="F485" s="6"/>
      <c r="G485" s="6"/>
      <c r="H485" s="6"/>
      <c r="I485" s="22"/>
      <c r="J485" s="10"/>
    </row>
    <row r="486" spans="1:10" s="20" customFormat="1" x14ac:dyDescent="0.25">
      <c r="A486" s="14"/>
      <c r="C486" s="6"/>
      <c r="F486" s="6"/>
      <c r="G486" s="6"/>
      <c r="H486" s="6"/>
      <c r="I486" s="22"/>
      <c r="J486" s="10"/>
    </row>
    <row r="487" spans="1:10" s="20" customFormat="1" x14ac:dyDescent="0.25">
      <c r="A487" s="14"/>
      <c r="C487" s="6"/>
      <c r="F487" s="6"/>
      <c r="G487" s="6"/>
      <c r="H487" s="6"/>
      <c r="I487" s="22"/>
      <c r="J487" s="10"/>
    </row>
    <row r="488" spans="1:10" s="20" customFormat="1" x14ac:dyDescent="0.25">
      <c r="A488" s="14"/>
      <c r="C488" s="6"/>
      <c r="F488" s="6"/>
      <c r="G488" s="6"/>
      <c r="H488" s="6"/>
      <c r="I488" s="22"/>
      <c r="J488" s="10"/>
    </row>
    <row r="489" spans="1:10" s="20" customFormat="1" x14ac:dyDescent="0.25">
      <c r="A489" s="14"/>
      <c r="C489" s="6"/>
      <c r="F489" s="6"/>
      <c r="G489" s="6"/>
      <c r="H489" s="6"/>
      <c r="I489" s="22"/>
      <c r="J489" s="10"/>
    </row>
    <row r="490" spans="1:10" s="20" customFormat="1" x14ac:dyDescent="0.25">
      <c r="A490" s="14"/>
      <c r="C490" s="6"/>
      <c r="F490" s="6"/>
      <c r="G490" s="6"/>
      <c r="H490" s="6"/>
      <c r="I490" s="22"/>
      <c r="J490" s="10"/>
    </row>
    <row r="491" spans="1:10" s="20" customFormat="1" x14ac:dyDescent="0.25">
      <c r="A491" s="14"/>
      <c r="C491" s="6"/>
      <c r="F491" s="6"/>
      <c r="G491" s="6"/>
      <c r="H491" s="6"/>
      <c r="I491" s="22"/>
      <c r="J491" s="10"/>
    </row>
    <row r="492" spans="1:10" s="20" customFormat="1" x14ac:dyDescent="0.25">
      <c r="A492" s="14"/>
      <c r="C492" s="6"/>
      <c r="F492" s="6"/>
      <c r="G492" s="6"/>
      <c r="H492" s="6"/>
      <c r="I492" s="22"/>
      <c r="J492" s="10"/>
    </row>
    <row r="493" spans="1:10" s="20" customFormat="1" x14ac:dyDescent="0.25">
      <c r="A493" s="14"/>
      <c r="C493" s="6"/>
      <c r="F493" s="6"/>
      <c r="G493" s="6"/>
      <c r="H493" s="6"/>
      <c r="I493" s="22"/>
      <c r="J493" s="10"/>
    </row>
    <row r="494" spans="1:10" s="20" customFormat="1" x14ac:dyDescent="0.25">
      <c r="A494" s="14"/>
      <c r="C494" s="6"/>
      <c r="F494" s="6"/>
      <c r="G494" s="6"/>
      <c r="H494" s="6"/>
      <c r="I494" s="22"/>
      <c r="J494" s="10"/>
    </row>
    <row r="495" spans="1:10" s="20" customFormat="1" x14ac:dyDescent="0.25">
      <c r="A495" s="14"/>
      <c r="C495" s="6"/>
      <c r="F495" s="6"/>
      <c r="G495" s="6"/>
      <c r="H495" s="6"/>
      <c r="I495" s="22"/>
      <c r="J495" s="10"/>
    </row>
    <row r="496" spans="1:10" s="20" customFormat="1" x14ac:dyDescent="0.25">
      <c r="A496" s="14"/>
      <c r="C496" s="6"/>
      <c r="F496" s="6"/>
      <c r="G496" s="6"/>
      <c r="H496" s="6"/>
      <c r="I496" s="22"/>
      <c r="J496" s="10"/>
    </row>
    <row r="497" spans="1:10" s="20" customFormat="1" x14ac:dyDescent="0.25">
      <c r="A497" s="14"/>
      <c r="C497" s="6"/>
      <c r="F497" s="6"/>
      <c r="G497" s="6"/>
      <c r="H497" s="6"/>
      <c r="I497" s="22"/>
      <c r="J497" s="10"/>
    </row>
    <row r="498" spans="1:10" s="20" customFormat="1" x14ac:dyDescent="0.25">
      <c r="A498" s="14"/>
      <c r="C498" s="6"/>
      <c r="F498" s="6"/>
      <c r="G498" s="6"/>
      <c r="H498" s="6"/>
      <c r="I498" s="22"/>
      <c r="J498" s="10"/>
    </row>
    <row r="499" spans="1:10" s="20" customFormat="1" x14ac:dyDescent="0.25">
      <c r="A499" s="14"/>
      <c r="C499" s="6"/>
      <c r="F499" s="6"/>
      <c r="G499" s="6"/>
      <c r="H499" s="6"/>
      <c r="I499" s="22"/>
      <c r="J499" s="10"/>
    </row>
    <row r="500" spans="1:10" s="20" customFormat="1" x14ac:dyDescent="0.25">
      <c r="A500" s="14"/>
      <c r="C500" s="6"/>
      <c r="F500" s="6"/>
      <c r="G500" s="6"/>
      <c r="H500" s="6"/>
      <c r="I500" s="22"/>
      <c r="J500" s="10"/>
    </row>
    <row r="501" spans="1:10" s="20" customFormat="1" x14ac:dyDescent="0.25">
      <c r="A501" s="14"/>
      <c r="C501" s="6"/>
      <c r="F501" s="6"/>
      <c r="G501" s="6"/>
      <c r="H501" s="6"/>
      <c r="I501" s="22"/>
      <c r="J501" s="10"/>
    </row>
    <row r="502" spans="1:10" s="20" customFormat="1" x14ac:dyDescent="0.25">
      <c r="A502" s="14"/>
      <c r="C502" s="6"/>
      <c r="F502" s="6"/>
      <c r="G502" s="6"/>
      <c r="H502" s="6"/>
      <c r="I502" s="22"/>
      <c r="J502" s="10"/>
    </row>
    <row r="503" spans="1:10" s="20" customFormat="1" x14ac:dyDescent="0.25">
      <c r="A503" s="14"/>
      <c r="C503" s="6"/>
      <c r="F503" s="6"/>
      <c r="G503" s="6"/>
      <c r="H503" s="6"/>
      <c r="I503" s="22"/>
      <c r="J503" s="10"/>
    </row>
    <row r="504" spans="1:10" s="20" customFormat="1" x14ac:dyDescent="0.25">
      <c r="A504" s="14"/>
      <c r="C504" s="6"/>
      <c r="F504" s="6"/>
      <c r="G504" s="6"/>
      <c r="H504" s="6"/>
      <c r="I504" s="22"/>
      <c r="J504" s="10"/>
    </row>
    <row r="505" spans="1:10" s="20" customFormat="1" x14ac:dyDescent="0.25">
      <c r="A505" s="14"/>
      <c r="C505" s="6"/>
      <c r="F505" s="6"/>
      <c r="G505" s="6"/>
      <c r="H505" s="6"/>
      <c r="I505" s="22"/>
      <c r="J505" s="10"/>
    </row>
    <row r="506" spans="1:10" s="20" customFormat="1" x14ac:dyDescent="0.25">
      <c r="A506" s="14"/>
      <c r="C506" s="6"/>
      <c r="F506" s="6"/>
      <c r="G506" s="6"/>
      <c r="H506" s="6"/>
      <c r="I506" s="22"/>
      <c r="J506" s="10"/>
    </row>
    <row r="507" spans="1:10" s="20" customFormat="1" x14ac:dyDescent="0.25">
      <c r="A507" s="14"/>
      <c r="C507" s="6"/>
      <c r="F507" s="6"/>
      <c r="G507" s="6"/>
      <c r="H507" s="6"/>
      <c r="I507" s="22"/>
      <c r="J507" s="10"/>
    </row>
    <row r="508" spans="1:10" s="20" customFormat="1" x14ac:dyDescent="0.25">
      <c r="A508" s="14"/>
      <c r="C508" s="6"/>
      <c r="F508" s="6"/>
      <c r="G508" s="6"/>
      <c r="H508" s="6"/>
      <c r="I508" s="22"/>
      <c r="J508" s="10"/>
    </row>
    <row r="509" spans="1:10" s="20" customFormat="1" x14ac:dyDescent="0.25">
      <c r="A509" s="14"/>
      <c r="C509" s="6"/>
      <c r="F509" s="6"/>
      <c r="G509" s="6"/>
      <c r="H509" s="6"/>
      <c r="I509" s="22"/>
      <c r="J509" s="10"/>
    </row>
    <row r="510" spans="1:10" s="20" customFormat="1" x14ac:dyDescent="0.25">
      <c r="A510" s="14"/>
      <c r="C510" s="6"/>
      <c r="F510" s="6"/>
      <c r="G510" s="6"/>
      <c r="H510" s="6"/>
      <c r="I510" s="22"/>
      <c r="J510" s="10"/>
    </row>
    <row r="511" spans="1:10" s="20" customFormat="1" x14ac:dyDescent="0.25">
      <c r="A511" s="14"/>
      <c r="C511" s="6"/>
      <c r="F511" s="6"/>
      <c r="G511" s="6"/>
      <c r="H511" s="6"/>
      <c r="I511" s="22"/>
      <c r="J511" s="10"/>
    </row>
    <row r="512" spans="1:10" s="20" customFormat="1" x14ac:dyDescent="0.25">
      <c r="A512" s="14"/>
      <c r="C512" s="6"/>
      <c r="F512" s="6"/>
      <c r="G512" s="6"/>
      <c r="H512" s="6"/>
      <c r="I512" s="22"/>
      <c r="J512" s="10"/>
    </row>
    <row r="513" spans="1:10" s="20" customFormat="1" x14ac:dyDescent="0.25">
      <c r="A513" s="14"/>
      <c r="C513" s="6"/>
      <c r="F513" s="6"/>
      <c r="G513" s="6"/>
      <c r="H513" s="6"/>
      <c r="I513" s="22"/>
      <c r="J513" s="10"/>
    </row>
    <row r="514" spans="1:10" s="20" customFormat="1" x14ac:dyDescent="0.25">
      <c r="A514" s="14"/>
      <c r="C514" s="6"/>
      <c r="F514" s="6"/>
      <c r="G514" s="6"/>
      <c r="H514" s="6"/>
      <c r="I514" s="22"/>
      <c r="J514" s="10"/>
    </row>
    <row r="515" spans="1:10" s="20" customFormat="1" x14ac:dyDescent="0.25">
      <c r="A515" s="14"/>
      <c r="C515" s="6"/>
      <c r="F515" s="6"/>
      <c r="G515" s="6"/>
      <c r="H515" s="6"/>
      <c r="I515" s="22"/>
      <c r="J515" s="10"/>
    </row>
    <row r="516" spans="1:10" s="20" customFormat="1" x14ac:dyDescent="0.25">
      <c r="A516" s="14"/>
      <c r="C516" s="6"/>
      <c r="F516" s="6"/>
      <c r="G516" s="6"/>
      <c r="H516" s="6"/>
      <c r="I516" s="22"/>
      <c r="J516" s="10"/>
    </row>
    <row r="517" spans="1:10" s="20" customFormat="1" x14ac:dyDescent="0.25">
      <c r="A517" s="14"/>
      <c r="C517" s="6"/>
      <c r="F517" s="6"/>
      <c r="G517" s="6"/>
      <c r="H517" s="6"/>
      <c r="I517" s="22"/>
      <c r="J517" s="10"/>
    </row>
    <row r="518" spans="1:10" s="20" customFormat="1" x14ac:dyDescent="0.25">
      <c r="A518" s="14"/>
      <c r="C518" s="6"/>
      <c r="F518" s="6"/>
      <c r="G518" s="6"/>
      <c r="H518" s="6"/>
      <c r="I518" s="22"/>
      <c r="J518" s="10"/>
    </row>
    <row r="519" spans="1:10" s="20" customFormat="1" x14ac:dyDescent="0.25">
      <c r="A519" s="14"/>
      <c r="C519" s="6"/>
      <c r="F519" s="6"/>
      <c r="G519" s="6"/>
      <c r="H519" s="6"/>
      <c r="I519" s="22"/>
      <c r="J519" s="10"/>
    </row>
    <row r="520" spans="1:10" s="20" customFormat="1" x14ac:dyDescent="0.25">
      <c r="A520" s="14"/>
      <c r="C520" s="6"/>
      <c r="F520" s="6"/>
      <c r="G520" s="6"/>
      <c r="H520" s="6"/>
      <c r="I520" s="22"/>
      <c r="J520" s="10"/>
    </row>
    <row r="521" spans="1:10" s="20" customFormat="1" x14ac:dyDescent="0.25">
      <c r="A521" s="14"/>
      <c r="C521" s="6"/>
      <c r="F521" s="6"/>
      <c r="G521" s="6"/>
      <c r="H521" s="6"/>
      <c r="I521" s="22"/>
      <c r="J521" s="10"/>
    </row>
    <row r="522" spans="1:10" s="20" customFormat="1" x14ac:dyDescent="0.25">
      <c r="A522" s="14"/>
      <c r="C522" s="6"/>
      <c r="F522" s="6"/>
      <c r="G522" s="6"/>
      <c r="H522" s="6"/>
      <c r="I522" s="22"/>
      <c r="J522" s="10"/>
    </row>
    <row r="523" spans="1:10" s="20" customFormat="1" x14ac:dyDescent="0.25">
      <c r="A523" s="14"/>
      <c r="C523" s="6"/>
      <c r="F523" s="6"/>
      <c r="G523" s="6"/>
      <c r="H523" s="6"/>
      <c r="I523" s="22"/>
      <c r="J523" s="10"/>
    </row>
    <row r="524" spans="1:10" s="20" customFormat="1" x14ac:dyDescent="0.25">
      <c r="A524" s="14"/>
      <c r="C524" s="6"/>
      <c r="F524" s="6"/>
      <c r="G524" s="6"/>
      <c r="H524" s="6"/>
      <c r="I524" s="22"/>
      <c r="J524" s="10"/>
    </row>
    <row r="525" spans="1:10" s="20" customFormat="1" x14ac:dyDescent="0.25">
      <c r="A525" s="14"/>
      <c r="C525" s="6"/>
      <c r="F525" s="6"/>
      <c r="G525" s="6"/>
      <c r="H525" s="6"/>
      <c r="I525" s="22"/>
      <c r="J525" s="10"/>
    </row>
    <row r="526" spans="1:10" s="20" customFormat="1" x14ac:dyDescent="0.25">
      <c r="A526" s="14"/>
      <c r="C526" s="6"/>
      <c r="F526" s="6"/>
      <c r="G526" s="6"/>
      <c r="H526" s="6"/>
      <c r="I526" s="22"/>
      <c r="J526" s="10"/>
    </row>
    <row r="527" spans="1:10" s="20" customFormat="1" x14ac:dyDescent="0.25">
      <c r="A527" s="14"/>
      <c r="C527" s="6"/>
      <c r="F527" s="6"/>
      <c r="G527" s="6"/>
      <c r="H527" s="6"/>
      <c r="I527" s="22"/>
      <c r="J527" s="10"/>
    </row>
    <row r="528" spans="1:10" s="20" customFormat="1" x14ac:dyDescent="0.25">
      <c r="A528" s="14"/>
      <c r="C528" s="6"/>
      <c r="F528" s="6"/>
      <c r="G528" s="6"/>
      <c r="H528" s="6"/>
      <c r="I528" s="22"/>
      <c r="J528" s="10"/>
    </row>
    <row r="529" spans="1:10" s="20" customFormat="1" x14ac:dyDescent="0.25">
      <c r="A529" s="14"/>
      <c r="C529" s="6"/>
      <c r="F529" s="6"/>
      <c r="G529" s="6"/>
      <c r="H529" s="6"/>
      <c r="I529" s="22"/>
      <c r="J529" s="10"/>
    </row>
    <row r="530" spans="1:10" s="20" customFormat="1" x14ac:dyDescent="0.25">
      <c r="A530" s="14"/>
      <c r="C530" s="6"/>
      <c r="F530" s="6"/>
      <c r="G530" s="6"/>
      <c r="H530" s="6"/>
      <c r="I530" s="22"/>
      <c r="J530" s="10"/>
    </row>
    <row r="531" spans="1:10" s="20" customFormat="1" x14ac:dyDescent="0.25">
      <c r="A531" s="14"/>
      <c r="C531" s="6"/>
      <c r="F531" s="6"/>
      <c r="G531" s="6"/>
      <c r="H531" s="6"/>
      <c r="I531" s="22"/>
      <c r="J531" s="10"/>
    </row>
    <row r="532" spans="1:10" s="20" customFormat="1" x14ac:dyDescent="0.25">
      <c r="A532" s="14"/>
      <c r="C532" s="6"/>
      <c r="F532" s="6"/>
      <c r="G532" s="6"/>
      <c r="H532" s="6"/>
      <c r="I532" s="22"/>
      <c r="J532" s="10"/>
    </row>
    <row r="533" spans="1:10" s="20" customFormat="1" x14ac:dyDescent="0.25">
      <c r="A533" s="14"/>
      <c r="C533" s="6"/>
      <c r="F533" s="6"/>
      <c r="G533" s="6"/>
      <c r="H533" s="6"/>
      <c r="I533" s="22"/>
      <c r="J533" s="10"/>
    </row>
    <row r="534" spans="1:10" s="20" customFormat="1" x14ac:dyDescent="0.25">
      <c r="A534" s="14"/>
      <c r="C534" s="6"/>
      <c r="F534" s="6"/>
      <c r="G534" s="6"/>
      <c r="H534" s="6"/>
      <c r="I534" s="22"/>
      <c r="J534" s="10"/>
    </row>
    <row r="535" spans="1:10" s="20" customFormat="1" x14ac:dyDescent="0.25">
      <c r="A535" s="14"/>
      <c r="C535" s="6"/>
      <c r="F535" s="6"/>
      <c r="G535" s="6"/>
      <c r="H535" s="6"/>
      <c r="I535" s="22"/>
      <c r="J535" s="10"/>
    </row>
    <row r="536" spans="1:10" s="20" customFormat="1" x14ac:dyDescent="0.25">
      <c r="A536" s="14"/>
      <c r="C536" s="6"/>
      <c r="F536" s="6"/>
      <c r="G536" s="6"/>
      <c r="H536" s="6"/>
      <c r="I536" s="22"/>
      <c r="J536" s="10"/>
    </row>
    <row r="537" spans="1:10" s="20" customFormat="1" x14ac:dyDescent="0.25">
      <c r="A537" s="14"/>
      <c r="C537" s="6"/>
      <c r="F537" s="6"/>
      <c r="G537" s="6"/>
      <c r="H537" s="6"/>
      <c r="I537" s="22"/>
      <c r="J537" s="10"/>
    </row>
    <row r="538" spans="1:10" s="20" customFormat="1" x14ac:dyDescent="0.25">
      <c r="A538" s="14"/>
      <c r="C538" s="6"/>
      <c r="F538" s="6"/>
      <c r="G538" s="6"/>
      <c r="H538" s="6"/>
      <c r="I538" s="22"/>
      <c r="J538" s="10"/>
    </row>
    <row r="539" spans="1:10" s="20" customFormat="1" x14ac:dyDescent="0.25">
      <c r="A539" s="14"/>
      <c r="C539" s="6"/>
      <c r="F539" s="6"/>
      <c r="G539" s="6"/>
      <c r="H539" s="6"/>
      <c r="I539" s="22"/>
      <c r="J539" s="10"/>
    </row>
    <row r="540" spans="1:10" s="20" customFormat="1" x14ac:dyDescent="0.25">
      <c r="A540" s="14"/>
      <c r="C540" s="6"/>
      <c r="F540" s="6"/>
      <c r="G540" s="6"/>
      <c r="H540" s="6"/>
      <c r="I540" s="22"/>
      <c r="J540" s="10"/>
    </row>
    <row r="541" spans="1:10" s="20" customFormat="1" x14ac:dyDescent="0.25">
      <c r="A541" s="14"/>
      <c r="C541" s="6"/>
      <c r="F541" s="6"/>
      <c r="G541" s="6"/>
      <c r="H541" s="6"/>
      <c r="I541" s="22"/>
      <c r="J541" s="10"/>
    </row>
    <row r="542" spans="1:10" s="20" customFormat="1" x14ac:dyDescent="0.25">
      <c r="A542" s="14"/>
      <c r="C542" s="6"/>
      <c r="F542" s="6"/>
      <c r="G542" s="6"/>
      <c r="H542" s="6"/>
      <c r="I542" s="22"/>
      <c r="J542" s="10"/>
    </row>
    <row r="543" spans="1:10" s="20" customFormat="1" x14ac:dyDescent="0.25">
      <c r="A543" s="14"/>
      <c r="C543" s="6"/>
      <c r="F543" s="6"/>
      <c r="G543" s="6"/>
      <c r="H543" s="6"/>
      <c r="I543" s="22"/>
      <c r="J543" s="10"/>
    </row>
    <row r="544" spans="1:10" s="20" customFormat="1" x14ac:dyDescent="0.25">
      <c r="A544" s="14"/>
      <c r="C544" s="6"/>
      <c r="F544" s="6"/>
      <c r="G544" s="6"/>
      <c r="H544" s="6"/>
      <c r="I544" s="22"/>
      <c r="J544" s="10"/>
    </row>
    <row r="545" spans="1:10" s="20" customFormat="1" x14ac:dyDescent="0.25">
      <c r="A545" s="14"/>
      <c r="C545" s="6"/>
      <c r="F545" s="6"/>
      <c r="G545" s="6"/>
      <c r="H545" s="6"/>
      <c r="I545" s="22"/>
      <c r="J545" s="10"/>
    </row>
    <row r="546" spans="1:10" s="20" customFormat="1" x14ac:dyDescent="0.25">
      <c r="A546" s="14"/>
      <c r="C546" s="6"/>
      <c r="F546" s="6"/>
      <c r="G546" s="6"/>
      <c r="H546" s="6"/>
      <c r="I546" s="22"/>
      <c r="J546" s="10"/>
    </row>
    <row r="547" spans="1:10" s="20" customFormat="1" x14ac:dyDescent="0.25">
      <c r="A547" s="14"/>
      <c r="C547" s="6"/>
      <c r="F547" s="6"/>
      <c r="G547" s="6"/>
      <c r="H547" s="6"/>
      <c r="I547" s="22"/>
      <c r="J547" s="10"/>
    </row>
    <row r="548" spans="1:10" s="20" customFormat="1" x14ac:dyDescent="0.25">
      <c r="A548" s="14"/>
      <c r="C548" s="6"/>
      <c r="F548" s="6"/>
      <c r="G548" s="6"/>
      <c r="H548" s="6"/>
      <c r="I548" s="22"/>
      <c r="J548" s="10"/>
    </row>
    <row r="549" spans="1:10" s="20" customFormat="1" x14ac:dyDescent="0.25">
      <c r="A549" s="14"/>
      <c r="C549" s="6"/>
      <c r="F549" s="6"/>
      <c r="G549" s="6"/>
      <c r="H549" s="6"/>
      <c r="I549" s="22"/>
      <c r="J549" s="10"/>
    </row>
    <row r="550" spans="1:10" s="20" customFormat="1" x14ac:dyDescent="0.25">
      <c r="A550" s="14"/>
      <c r="C550" s="6"/>
      <c r="F550" s="6"/>
      <c r="G550" s="6"/>
      <c r="H550" s="6"/>
      <c r="I550" s="22"/>
      <c r="J550" s="10"/>
    </row>
    <row r="551" spans="1:10" s="20" customFormat="1" x14ac:dyDescent="0.25">
      <c r="A551" s="14"/>
      <c r="C551" s="6"/>
      <c r="F551" s="6"/>
      <c r="G551" s="6"/>
      <c r="H551" s="6"/>
      <c r="I551" s="22"/>
      <c r="J551" s="10"/>
    </row>
    <row r="552" spans="1:10" s="20" customFormat="1" x14ac:dyDescent="0.25">
      <c r="A552" s="14"/>
      <c r="C552" s="6"/>
      <c r="F552" s="6"/>
      <c r="G552" s="6"/>
      <c r="H552" s="6"/>
      <c r="I552" s="22"/>
      <c r="J552" s="10"/>
    </row>
    <row r="553" spans="1:10" s="20" customFormat="1" x14ac:dyDescent="0.25">
      <c r="A553" s="14"/>
      <c r="C553" s="6"/>
      <c r="F553" s="6"/>
      <c r="G553" s="6"/>
      <c r="H553" s="6"/>
      <c r="I553" s="22"/>
      <c r="J553" s="10"/>
    </row>
    <row r="554" spans="1:10" s="20" customFormat="1" x14ac:dyDescent="0.25">
      <c r="A554" s="14"/>
      <c r="C554" s="6"/>
      <c r="F554" s="6"/>
      <c r="G554" s="6"/>
      <c r="H554" s="6"/>
      <c r="I554" s="22"/>
      <c r="J554" s="10"/>
    </row>
    <row r="555" spans="1:10" s="20" customFormat="1" x14ac:dyDescent="0.25">
      <c r="A555" s="14"/>
      <c r="C555" s="6"/>
      <c r="F555" s="6"/>
      <c r="G555" s="6"/>
      <c r="H555" s="6"/>
      <c r="I555" s="22"/>
      <c r="J555" s="10"/>
    </row>
    <row r="556" spans="1:10" s="20" customFormat="1" x14ac:dyDescent="0.25">
      <c r="A556" s="14"/>
      <c r="C556" s="6"/>
      <c r="F556" s="6"/>
      <c r="G556" s="6"/>
      <c r="H556" s="6"/>
      <c r="I556" s="22"/>
      <c r="J556" s="10"/>
    </row>
    <row r="557" spans="1:10" s="20" customFormat="1" x14ac:dyDescent="0.25">
      <c r="A557" s="14"/>
      <c r="C557" s="6"/>
      <c r="F557" s="6"/>
      <c r="G557" s="6"/>
      <c r="H557" s="6"/>
      <c r="I557" s="22"/>
      <c r="J557" s="10"/>
    </row>
    <row r="558" spans="1:10" s="20" customFormat="1" x14ac:dyDescent="0.25">
      <c r="A558" s="14"/>
      <c r="C558" s="6"/>
      <c r="F558" s="6"/>
      <c r="G558" s="6"/>
      <c r="H558" s="6"/>
      <c r="I558" s="22"/>
      <c r="J558" s="10"/>
    </row>
    <row r="559" spans="1:10" s="20" customFormat="1" x14ac:dyDescent="0.25">
      <c r="A559" s="14"/>
      <c r="C559" s="6"/>
      <c r="F559" s="6"/>
      <c r="G559" s="6"/>
      <c r="H559" s="6"/>
      <c r="I559" s="22"/>
      <c r="J559" s="10"/>
    </row>
    <row r="560" spans="1:10" s="20" customFormat="1" x14ac:dyDescent="0.25">
      <c r="A560" s="14"/>
      <c r="C560" s="6"/>
      <c r="F560" s="6"/>
      <c r="G560" s="6"/>
      <c r="H560" s="6"/>
      <c r="I560" s="22"/>
      <c r="J560" s="10"/>
    </row>
    <row r="561" spans="1:10" s="20" customFormat="1" x14ac:dyDescent="0.25">
      <c r="A561" s="14"/>
      <c r="C561" s="6"/>
      <c r="F561" s="6"/>
      <c r="G561" s="6"/>
      <c r="H561" s="6"/>
      <c r="I561" s="22"/>
      <c r="J561" s="10"/>
    </row>
    <row r="562" spans="1:10" s="20" customFormat="1" x14ac:dyDescent="0.25">
      <c r="A562" s="14"/>
      <c r="C562" s="6"/>
      <c r="F562" s="6"/>
      <c r="G562" s="6"/>
      <c r="H562" s="6"/>
      <c r="I562" s="22"/>
      <c r="J562" s="10"/>
    </row>
    <row r="563" spans="1:10" s="20" customFormat="1" x14ac:dyDescent="0.25">
      <c r="A563" s="14"/>
      <c r="C563" s="6"/>
      <c r="F563" s="6"/>
      <c r="G563" s="6"/>
      <c r="H563" s="6"/>
      <c r="I563" s="22"/>
      <c r="J563" s="10"/>
    </row>
    <row r="564" spans="1:10" s="20" customFormat="1" x14ac:dyDescent="0.25">
      <c r="A564" s="14"/>
      <c r="C564" s="6"/>
      <c r="F564" s="6"/>
      <c r="G564" s="6"/>
      <c r="H564" s="6"/>
      <c r="I564" s="22"/>
      <c r="J564" s="10"/>
    </row>
    <row r="565" spans="1:10" s="20" customFormat="1" x14ac:dyDescent="0.25">
      <c r="A565" s="14"/>
      <c r="C565" s="6"/>
      <c r="F565" s="6"/>
      <c r="G565" s="6"/>
      <c r="H565" s="6"/>
      <c r="I565" s="22"/>
      <c r="J565" s="10"/>
    </row>
    <row r="566" spans="1:10" s="20" customFormat="1" x14ac:dyDescent="0.25">
      <c r="A566" s="14"/>
      <c r="C566" s="6"/>
      <c r="F566" s="6"/>
      <c r="G566" s="6"/>
      <c r="H566" s="6"/>
      <c r="I566" s="22"/>
      <c r="J566" s="10"/>
    </row>
    <row r="567" spans="1:10" s="20" customFormat="1" x14ac:dyDescent="0.25">
      <c r="A567" s="14"/>
      <c r="C567" s="6"/>
      <c r="F567" s="6"/>
      <c r="G567" s="6"/>
      <c r="H567" s="6"/>
      <c r="I567" s="22"/>
      <c r="J567" s="10"/>
    </row>
    <row r="568" spans="1:10" s="20" customFormat="1" x14ac:dyDescent="0.25">
      <c r="A568" s="14"/>
      <c r="C568" s="6"/>
      <c r="F568" s="6"/>
      <c r="G568" s="6"/>
      <c r="H568" s="6"/>
      <c r="I568" s="22"/>
      <c r="J568" s="10"/>
    </row>
    <row r="569" spans="1:10" s="20" customFormat="1" x14ac:dyDescent="0.25">
      <c r="A569" s="14"/>
      <c r="C569" s="6"/>
      <c r="F569" s="6"/>
      <c r="G569" s="6"/>
      <c r="H569" s="6"/>
      <c r="I569" s="22"/>
      <c r="J569" s="10"/>
    </row>
    <row r="570" spans="1:10" s="20" customFormat="1" x14ac:dyDescent="0.25">
      <c r="A570" s="14"/>
      <c r="C570" s="6"/>
      <c r="F570" s="6"/>
      <c r="G570" s="6"/>
      <c r="H570" s="6"/>
      <c r="I570" s="22"/>
      <c r="J570" s="10"/>
    </row>
    <row r="571" spans="1:10" s="20" customFormat="1" x14ac:dyDescent="0.25">
      <c r="A571" s="14"/>
      <c r="C571" s="6"/>
      <c r="F571" s="6"/>
      <c r="G571" s="6"/>
      <c r="H571" s="6"/>
      <c r="I571" s="22"/>
      <c r="J571" s="10"/>
    </row>
    <row r="572" spans="1:10" s="20" customFormat="1" x14ac:dyDescent="0.25">
      <c r="A572" s="14"/>
      <c r="C572" s="6"/>
      <c r="F572" s="6"/>
      <c r="G572" s="6"/>
      <c r="H572" s="6"/>
      <c r="I572" s="22"/>
      <c r="J572" s="10"/>
    </row>
    <row r="573" spans="1:10" s="20" customFormat="1" x14ac:dyDescent="0.25">
      <c r="A573" s="14"/>
      <c r="C573" s="6"/>
      <c r="F573" s="6"/>
      <c r="G573" s="6"/>
      <c r="H573" s="6"/>
      <c r="I573" s="22"/>
      <c r="J573" s="10"/>
    </row>
    <row r="574" spans="1:10" s="20" customFormat="1" x14ac:dyDescent="0.25">
      <c r="A574" s="14"/>
      <c r="C574" s="6"/>
      <c r="F574" s="6"/>
      <c r="G574" s="6"/>
      <c r="H574" s="6"/>
      <c r="I574" s="22"/>
      <c r="J574" s="10"/>
    </row>
    <row r="575" spans="1:10" s="20" customFormat="1" x14ac:dyDescent="0.25">
      <c r="A575" s="14"/>
      <c r="C575" s="6"/>
      <c r="F575" s="6"/>
      <c r="G575" s="6"/>
      <c r="H575" s="6"/>
      <c r="I575" s="22"/>
      <c r="J575" s="10"/>
    </row>
    <row r="576" spans="1:10" s="20" customFormat="1" x14ac:dyDescent="0.25">
      <c r="A576" s="14"/>
      <c r="C576" s="6"/>
      <c r="F576" s="6"/>
      <c r="G576" s="6"/>
      <c r="H576" s="6"/>
      <c r="I576" s="22"/>
      <c r="J576" s="10"/>
    </row>
    <row r="577" spans="1:10" s="20" customFormat="1" x14ac:dyDescent="0.25">
      <c r="A577" s="14"/>
      <c r="C577" s="6"/>
      <c r="F577" s="6"/>
      <c r="G577" s="6"/>
      <c r="H577" s="6"/>
      <c r="I577" s="22"/>
      <c r="J577" s="10"/>
    </row>
    <row r="578" spans="1:10" s="20" customFormat="1" x14ac:dyDescent="0.25">
      <c r="A578" s="14"/>
      <c r="C578" s="6"/>
      <c r="F578" s="6"/>
      <c r="G578" s="6"/>
      <c r="H578" s="6"/>
      <c r="I578" s="22"/>
      <c r="J578" s="10"/>
    </row>
    <row r="579" spans="1:10" s="20" customFormat="1" x14ac:dyDescent="0.25">
      <c r="A579" s="14"/>
      <c r="C579" s="6"/>
      <c r="F579" s="6"/>
      <c r="G579" s="6"/>
      <c r="H579" s="6"/>
      <c r="I579" s="22"/>
      <c r="J579" s="10"/>
    </row>
    <row r="580" spans="1:10" s="20" customFormat="1" x14ac:dyDescent="0.25">
      <c r="A580" s="14"/>
      <c r="C580" s="6"/>
      <c r="F580" s="6"/>
      <c r="G580" s="6"/>
      <c r="H580" s="6"/>
      <c r="I580" s="22"/>
      <c r="J580" s="10"/>
    </row>
    <row r="581" spans="1:10" s="20" customFormat="1" x14ac:dyDescent="0.25">
      <c r="A581" s="14"/>
      <c r="C581" s="6"/>
      <c r="F581" s="6"/>
      <c r="G581" s="6"/>
      <c r="H581" s="6"/>
      <c r="I581" s="22"/>
      <c r="J581" s="10"/>
    </row>
    <row r="582" spans="1:10" s="20" customFormat="1" x14ac:dyDescent="0.25">
      <c r="A582" s="14"/>
      <c r="C582" s="6"/>
      <c r="F582" s="6"/>
      <c r="G582" s="6"/>
      <c r="H582" s="6"/>
      <c r="I582" s="22"/>
      <c r="J582" s="10"/>
    </row>
    <row r="583" spans="1:10" s="20" customFormat="1" x14ac:dyDescent="0.25">
      <c r="A583" s="14"/>
      <c r="C583" s="6"/>
      <c r="F583" s="6"/>
      <c r="G583" s="6"/>
      <c r="H583" s="6"/>
      <c r="I583" s="22"/>
      <c r="J583" s="10"/>
    </row>
    <row r="584" spans="1:10" s="20" customFormat="1" x14ac:dyDescent="0.25">
      <c r="A584" s="14"/>
      <c r="C584" s="6"/>
      <c r="F584" s="6"/>
      <c r="G584" s="6"/>
      <c r="H584" s="6"/>
      <c r="I584" s="22"/>
      <c r="J584" s="10"/>
    </row>
    <row r="585" spans="1:10" s="20" customFormat="1" x14ac:dyDescent="0.25">
      <c r="A585" s="14"/>
      <c r="C585" s="6"/>
      <c r="F585" s="6"/>
      <c r="G585" s="6"/>
      <c r="H585" s="6"/>
      <c r="I585" s="22"/>
      <c r="J585" s="10"/>
    </row>
    <row r="586" spans="1:10" s="20" customFormat="1" x14ac:dyDescent="0.25">
      <c r="A586" s="14"/>
      <c r="C586" s="6"/>
      <c r="F586" s="6"/>
      <c r="G586" s="6"/>
      <c r="H586" s="6"/>
      <c r="I586" s="22"/>
      <c r="J586" s="10"/>
    </row>
    <row r="587" spans="1:10" s="20" customFormat="1" x14ac:dyDescent="0.25">
      <c r="A587" s="14"/>
      <c r="C587" s="6"/>
      <c r="F587" s="6"/>
      <c r="G587" s="6"/>
      <c r="H587" s="6"/>
      <c r="I587" s="22"/>
      <c r="J587" s="10"/>
    </row>
    <row r="588" spans="1:10" s="20" customFormat="1" x14ac:dyDescent="0.25">
      <c r="A588" s="14"/>
      <c r="C588" s="6"/>
      <c r="F588" s="6"/>
      <c r="G588" s="6"/>
      <c r="H588" s="6"/>
      <c r="I588" s="22"/>
      <c r="J588" s="10"/>
    </row>
    <row r="589" spans="1:10" s="20" customFormat="1" x14ac:dyDescent="0.25">
      <c r="A589" s="14"/>
      <c r="C589" s="6"/>
      <c r="F589" s="6"/>
      <c r="G589" s="6"/>
      <c r="H589" s="6"/>
      <c r="I589" s="22"/>
      <c r="J589" s="10"/>
    </row>
    <row r="590" spans="1:10" s="20" customFormat="1" x14ac:dyDescent="0.25">
      <c r="A590" s="14"/>
      <c r="C590" s="6"/>
      <c r="F590" s="6"/>
      <c r="G590" s="6"/>
      <c r="H590" s="6"/>
      <c r="I590" s="22"/>
      <c r="J590" s="10"/>
    </row>
    <row r="591" spans="1:10" s="20" customFormat="1" x14ac:dyDescent="0.25">
      <c r="A591" s="14"/>
      <c r="C591" s="6"/>
      <c r="F591" s="6"/>
      <c r="G591" s="6"/>
      <c r="H591" s="6"/>
      <c r="I591" s="22"/>
      <c r="J591" s="10"/>
    </row>
    <row r="592" spans="1:10" s="20" customFormat="1" x14ac:dyDescent="0.25">
      <c r="A592" s="14"/>
      <c r="C592" s="6"/>
      <c r="F592" s="6"/>
      <c r="G592" s="6"/>
      <c r="H592" s="6"/>
      <c r="I592" s="22"/>
      <c r="J592" s="10"/>
    </row>
    <row r="593" spans="1:10" s="20" customFormat="1" x14ac:dyDescent="0.25">
      <c r="A593" s="14"/>
      <c r="C593" s="6"/>
      <c r="F593" s="6"/>
      <c r="G593" s="6"/>
      <c r="H593" s="6"/>
      <c r="I593" s="22"/>
      <c r="J593" s="10"/>
    </row>
    <row r="594" spans="1:10" s="20" customFormat="1" x14ac:dyDescent="0.25">
      <c r="A594" s="14"/>
      <c r="C594" s="6"/>
      <c r="F594" s="6"/>
      <c r="G594" s="6"/>
      <c r="H594" s="6"/>
      <c r="I594" s="22"/>
      <c r="J594" s="10"/>
    </row>
    <row r="595" spans="1:10" s="20" customFormat="1" x14ac:dyDescent="0.25">
      <c r="A595" s="14"/>
      <c r="C595" s="6"/>
      <c r="F595" s="6"/>
      <c r="G595" s="6"/>
      <c r="H595" s="6"/>
      <c r="I595" s="22"/>
      <c r="J595" s="10"/>
    </row>
    <row r="596" spans="1:10" s="20" customFormat="1" x14ac:dyDescent="0.25">
      <c r="A596" s="14"/>
      <c r="C596" s="6"/>
      <c r="F596" s="6"/>
      <c r="G596" s="6"/>
      <c r="H596" s="6"/>
      <c r="I596" s="22"/>
      <c r="J596" s="10"/>
    </row>
    <row r="597" spans="1:10" s="20" customFormat="1" x14ac:dyDescent="0.25">
      <c r="A597" s="14"/>
      <c r="C597" s="6"/>
      <c r="F597" s="6"/>
      <c r="G597" s="6"/>
      <c r="H597" s="6"/>
      <c r="I597" s="22"/>
      <c r="J597" s="10"/>
    </row>
    <row r="598" spans="1:10" s="20" customFormat="1" x14ac:dyDescent="0.25">
      <c r="A598" s="14"/>
      <c r="C598" s="6"/>
      <c r="F598" s="6"/>
      <c r="G598" s="6"/>
      <c r="H598" s="6"/>
      <c r="I598" s="22"/>
      <c r="J598" s="10"/>
    </row>
    <row r="599" spans="1:10" s="20" customFormat="1" x14ac:dyDescent="0.25">
      <c r="A599" s="14"/>
      <c r="C599" s="6"/>
      <c r="F599" s="6"/>
      <c r="G599" s="6"/>
      <c r="H599" s="6"/>
      <c r="I599" s="22"/>
      <c r="J599" s="10"/>
    </row>
    <row r="600" spans="1:10" s="20" customFormat="1" x14ac:dyDescent="0.25">
      <c r="A600" s="14"/>
      <c r="C600" s="6"/>
      <c r="F600" s="6"/>
      <c r="G600" s="6"/>
      <c r="H600" s="6"/>
      <c r="I600" s="22"/>
      <c r="J600" s="10"/>
    </row>
    <row r="601" spans="1:10" s="20" customFormat="1" x14ac:dyDescent="0.25">
      <c r="A601" s="14"/>
      <c r="C601" s="6"/>
      <c r="F601" s="6"/>
      <c r="G601" s="6"/>
      <c r="H601" s="6"/>
      <c r="I601" s="22"/>
      <c r="J601" s="10"/>
    </row>
    <row r="602" spans="1:10" s="20" customFormat="1" x14ac:dyDescent="0.25">
      <c r="A602" s="14"/>
      <c r="C602" s="6"/>
      <c r="F602" s="6"/>
      <c r="G602" s="6"/>
      <c r="H602" s="6"/>
      <c r="I602" s="22"/>
      <c r="J602" s="10"/>
    </row>
    <row r="603" spans="1:10" s="20" customFormat="1" x14ac:dyDescent="0.25">
      <c r="A603" s="14"/>
      <c r="C603" s="6"/>
      <c r="F603" s="6"/>
      <c r="G603" s="6"/>
      <c r="H603" s="6"/>
      <c r="I603" s="22"/>
      <c r="J603" s="10"/>
    </row>
    <row r="604" spans="1:10" s="20" customFormat="1" x14ac:dyDescent="0.25">
      <c r="A604" s="14"/>
      <c r="C604" s="6"/>
      <c r="F604" s="6"/>
      <c r="G604" s="6"/>
      <c r="H604" s="6"/>
      <c r="I604" s="22"/>
      <c r="J604" s="10"/>
    </row>
    <row r="605" spans="1:10" s="20" customFormat="1" x14ac:dyDescent="0.25">
      <c r="A605" s="14"/>
      <c r="C605" s="6"/>
      <c r="F605" s="6"/>
      <c r="G605" s="6"/>
      <c r="H605" s="6"/>
      <c r="I605" s="22"/>
      <c r="J605" s="10"/>
    </row>
    <row r="606" spans="1:10" s="20" customFormat="1" x14ac:dyDescent="0.25">
      <c r="A606" s="14"/>
      <c r="C606" s="6"/>
      <c r="F606" s="6"/>
      <c r="G606" s="6"/>
      <c r="H606" s="6"/>
      <c r="I606" s="22"/>
      <c r="J606" s="10"/>
    </row>
    <row r="607" spans="1:10" s="20" customFormat="1" x14ac:dyDescent="0.25">
      <c r="A607" s="14"/>
      <c r="C607" s="6"/>
      <c r="F607" s="6"/>
      <c r="G607" s="6"/>
      <c r="H607" s="6"/>
      <c r="I607" s="22"/>
      <c r="J607" s="10"/>
    </row>
    <row r="608" spans="1:10" s="20" customFormat="1" x14ac:dyDescent="0.25">
      <c r="A608" s="14"/>
      <c r="C608" s="6"/>
      <c r="F608" s="6"/>
      <c r="G608" s="6"/>
      <c r="H608" s="6"/>
      <c r="I608" s="22"/>
      <c r="J608" s="10"/>
    </row>
    <row r="609" spans="1:10" s="20" customFormat="1" x14ac:dyDescent="0.25">
      <c r="A609" s="14"/>
      <c r="C609" s="6"/>
      <c r="F609" s="6"/>
      <c r="G609" s="6"/>
      <c r="H609" s="6"/>
      <c r="I609" s="22"/>
      <c r="J609" s="10"/>
    </row>
    <row r="610" spans="1:10" s="20" customFormat="1" x14ac:dyDescent="0.25">
      <c r="A610" s="14"/>
      <c r="C610" s="6"/>
      <c r="F610" s="6"/>
      <c r="G610" s="6"/>
      <c r="H610" s="6"/>
      <c r="I610" s="22"/>
      <c r="J610" s="10"/>
    </row>
    <row r="611" spans="1:10" s="20" customFormat="1" x14ac:dyDescent="0.25">
      <c r="A611" s="14"/>
      <c r="C611" s="6"/>
      <c r="F611" s="6"/>
      <c r="G611" s="6"/>
      <c r="H611" s="6"/>
      <c r="I611" s="22"/>
      <c r="J611" s="10"/>
    </row>
    <row r="612" spans="1:10" s="20" customFormat="1" x14ac:dyDescent="0.25">
      <c r="A612" s="14"/>
      <c r="C612" s="6"/>
      <c r="F612" s="6"/>
      <c r="G612" s="6"/>
      <c r="H612" s="6"/>
      <c r="I612" s="22"/>
      <c r="J612" s="10"/>
    </row>
    <row r="613" spans="1:10" s="20" customFormat="1" x14ac:dyDescent="0.25">
      <c r="A613" s="14"/>
      <c r="C613" s="6"/>
      <c r="F613" s="6"/>
      <c r="G613" s="6"/>
      <c r="H613" s="6"/>
      <c r="I613" s="22"/>
      <c r="J613" s="10"/>
    </row>
    <row r="614" spans="1:10" s="20" customFormat="1" x14ac:dyDescent="0.25">
      <c r="A614" s="14"/>
      <c r="C614" s="6"/>
      <c r="F614" s="6"/>
      <c r="G614" s="6"/>
      <c r="H614" s="6"/>
      <c r="I614" s="22"/>
      <c r="J614" s="10"/>
    </row>
    <row r="615" spans="1:10" s="20" customFormat="1" x14ac:dyDescent="0.25">
      <c r="A615" s="14"/>
      <c r="C615" s="6"/>
      <c r="F615" s="6"/>
      <c r="G615" s="6"/>
      <c r="H615" s="6"/>
      <c r="I615" s="22"/>
      <c r="J615" s="10"/>
    </row>
    <row r="616" spans="1:10" s="20" customFormat="1" x14ac:dyDescent="0.25">
      <c r="A616" s="14"/>
      <c r="C616" s="6"/>
      <c r="F616" s="6"/>
      <c r="G616" s="6"/>
      <c r="H616" s="6"/>
      <c r="I616" s="22"/>
      <c r="J616" s="10"/>
    </row>
    <row r="617" spans="1:10" s="20" customFormat="1" x14ac:dyDescent="0.25">
      <c r="A617" s="14"/>
      <c r="C617" s="6"/>
      <c r="F617" s="6"/>
      <c r="G617" s="6"/>
      <c r="H617" s="6"/>
      <c r="I617" s="22"/>
      <c r="J617" s="10"/>
    </row>
    <row r="618" spans="1:10" s="20" customFormat="1" x14ac:dyDescent="0.25">
      <c r="A618" s="14"/>
      <c r="C618" s="6"/>
      <c r="F618" s="6"/>
      <c r="G618" s="6"/>
      <c r="H618" s="6"/>
      <c r="I618" s="22"/>
      <c r="J618" s="10"/>
    </row>
    <row r="619" spans="1:10" s="20" customFormat="1" x14ac:dyDescent="0.25">
      <c r="A619" s="14"/>
      <c r="C619" s="6"/>
      <c r="F619" s="6"/>
      <c r="G619" s="6"/>
      <c r="H619" s="6"/>
      <c r="I619" s="22"/>
      <c r="J619" s="10"/>
    </row>
    <row r="620" spans="1:10" s="20" customFormat="1" x14ac:dyDescent="0.25">
      <c r="A620" s="14"/>
      <c r="C620" s="6"/>
      <c r="F620" s="6"/>
      <c r="G620" s="6"/>
      <c r="H620" s="6"/>
      <c r="I620" s="22"/>
      <c r="J620" s="10"/>
    </row>
    <row r="621" spans="1:10" s="20" customFormat="1" x14ac:dyDescent="0.25">
      <c r="A621" s="14"/>
      <c r="C621" s="6"/>
      <c r="F621" s="6"/>
      <c r="G621" s="6"/>
      <c r="H621" s="6"/>
      <c r="I621" s="22"/>
      <c r="J621" s="10"/>
    </row>
    <row r="622" spans="1:10" s="20" customFormat="1" x14ac:dyDescent="0.25">
      <c r="A622" s="14"/>
      <c r="C622" s="6"/>
      <c r="F622" s="6"/>
      <c r="G622" s="6"/>
      <c r="H622" s="6"/>
      <c r="I622" s="22"/>
      <c r="J622" s="10"/>
    </row>
    <row r="623" spans="1:10" s="20" customFormat="1" x14ac:dyDescent="0.25">
      <c r="A623" s="14"/>
      <c r="C623" s="6"/>
      <c r="F623" s="6"/>
      <c r="G623" s="6"/>
      <c r="H623" s="6"/>
      <c r="I623" s="22"/>
      <c r="J623" s="10"/>
    </row>
    <row r="624" spans="1:10" s="20" customFormat="1" x14ac:dyDescent="0.25">
      <c r="A624" s="14"/>
      <c r="C624" s="6"/>
      <c r="F624" s="6"/>
      <c r="G624" s="6"/>
      <c r="H624" s="6"/>
      <c r="I624" s="22"/>
      <c r="J624" s="10"/>
    </row>
    <row r="625" spans="1:10" s="20" customFormat="1" x14ac:dyDescent="0.25">
      <c r="A625" s="14"/>
      <c r="C625" s="6"/>
      <c r="F625" s="6"/>
      <c r="G625" s="6"/>
      <c r="H625" s="6"/>
      <c r="I625" s="22"/>
      <c r="J625" s="10"/>
    </row>
    <row r="626" spans="1:10" s="20" customFormat="1" x14ac:dyDescent="0.25">
      <c r="A626" s="14"/>
      <c r="C626" s="6"/>
      <c r="F626" s="6"/>
      <c r="G626" s="6"/>
      <c r="H626" s="6"/>
      <c r="I626" s="22"/>
      <c r="J626" s="10"/>
    </row>
    <row r="627" spans="1:10" s="20" customFormat="1" x14ac:dyDescent="0.25">
      <c r="A627" s="14"/>
      <c r="C627" s="6"/>
      <c r="F627" s="6"/>
      <c r="G627" s="6"/>
      <c r="H627" s="6"/>
      <c r="I627" s="22"/>
      <c r="J627" s="10"/>
    </row>
    <row r="628" spans="1:10" s="20" customFormat="1" x14ac:dyDescent="0.25">
      <c r="A628" s="14"/>
      <c r="C628" s="6"/>
      <c r="F628" s="6"/>
      <c r="G628" s="6"/>
      <c r="H628" s="6"/>
      <c r="I628" s="22"/>
      <c r="J628" s="10"/>
    </row>
    <row r="629" spans="1:10" s="20" customFormat="1" x14ac:dyDescent="0.25">
      <c r="A629" s="14"/>
      <c r="C629" s="6"/>
      <c r="F629" s="6"/>
      <c r="G629" s="6"/>
      <c r="H629" s="6"/>
      <c r="I629" s="22"/>
      <c r="J629" s="10"/>
    </row>
    <row r="630" spans="1:10" s="20" customFormat="1" x14ac:dyDescent="0.25">
      <c r="A630" s="14"/>
      <c r="C630" s="6"/>
      <c r="F630" s="6"/>
      <c r="G630" s="6"/>
      <c r="H630" s="6"/>
      <c r="I630" s="22"/>
      <c r="J630" s="10"/>
    </row>
    <row r="631" spans="1:10" s="20" customFormat="1" x14ac:dyDescent="0.25">
      <c r="A631" s="14"/>
      <c r="C631" s="6"/>
      <c r="F631" s="6"/>
      <c r="G631" s="6"/>
      <c r="H631" s="6"/>
      <c r="I631" s="22"/>
      <c r="J631" s="10"/>
    </row>
    <row r="632" spans="1:10" s="20" customFormat="1" x14ac:dyDescent="0.25">
      <c r="A632" s="14"/>
      <c r="C632" s="6"/>
      <c r="F632" s="6"/>
      <c r="G632" s="6"/>
      <c r="H632" s="6"/>
      <c r="I632" s="22"/>
      <c r="J632" s="10"/>
    </row>
    <row r="633" spans="1:10" s="20" customFormat="1" x14ac:dyDescent="0.25">
      <c r="A633" s="14"/>
      <c r="C633" s="6"/>
      <c r="F633" s="6"/>
      <c r="G633" s="6"/>
      <c r="H633" s="6"/>
      <c r="I633" s="22"/>
      <c r="J633" s="10"/>
    </row>
    <row r="634" spans="1:10" s="20" customFormat="1" x14ac:dyDescent="0.25">
      <c r="A634" s="14"/>
      <c r="C634" s="6"/>
      <c r="F634" s="6"/>
      <c r="G634" s="6"/>
      <c r="H634" s="6"/>
      <c r="I634" s="22"/>
      <c r="J634" s="10"/>
    </row>
    <row r="635" spans="1:10" s="20" customFormat="1" x14ac:dyDescent="0.25">
      <c r="A635" s="14"/>
      <c r="C635" s="6"/>
      <c r="F635" s="6"/>
      <c r="G635" s="6"/>
      <c r="H635" s="6"/>
      <c r="I635" s="22"/>
      <c r="J635" s="10"/>
    </row>
    <row r="636" spans="1:10" s="20" customFormat="1" x14ac:dyDescent="0.25">
      <c r="A636" s="14"/>
      <c r="C636" s="6"/>
      <c r="F636" s="6"/>
      <c r="G636" s="6"/>
      <c r="H636" s="6"/>
      <c r="I636" s="22"/>
      <c r="J636" s="10"/>
    </row>
    <row r="637" spans="1:10" s="20" customFormat="1" x14ac:dyDescent="0.25">
      <c r="A637" s="14"/>
      <c r="C637" s="6"/>
      <c r="F637" s="6"/>
      <c r="G637" s="6"/>
      <c r="H637" s="6"/>
      <c r="I637" s="22"/>
      <c r="J637" s="10"/>
    </row>
    <row r="638" spans="1:10" s="20" customFormat="1" x14ac:dyDescent="0.25">
      <c r="A638" s="14"/>
      <c r="C638" s="6"/>
      <c r="F638" s="6"/>
      <c r="G638" s="6"/>
      <c r="H638" s="6"/>
      <c r="I638" s="22"/>
      <c r="J638" s="10"/>
    </row>
    <row r="639" spans="1:10" s="20" customFormat="1" x14ac:dyDescent="0.25">
      <c r="A639" s="14"/>
      <c r="C639" s="6"/>
      <c r="F639" s="6"/>
      <c r="G639" s="6"/>
      <c r="H639" s="6"/>
      <c r="I639" s="22"/>
      <c r="J639" s="10"/>
    </row>
    <row r="640" spans="1:10" s="20" customFormat="1" x14ac:dyDescent="0.25">
      <c r="A640" s="14"/>
      <c r="C640" s="6"/>
      <c r="F640" s="6"/>
      <c r="G640" s="6"/>
      <c r="H640" s="6"/>
      <c r="I640" s="22"/>
      <c r="J640" s="10"/>
    </row>
    <row r="641" spans="1:10" s="20" customFormat="1" x14ac:dyDescent="0.25">
      <c r="A641" s="14"/>
      <c r="C641" s="6"/>
      <c r="F641" s="6"/>
      <c r="G641" s="6"/>
      <c r="H641" s="6"/>
      <c r="I641" s="22"/>
      <c r="J641" s="10"/>
    </row>
    <row r="642" spans="1:10" s="20" customFormat="1" x14ac:dyDescent="0.25">
      <c r="A642" s="14"/>
      <c r="C642" s="6"/>
      <c r="F642" s="6"/>
      <c r="G642" s="6"/>
      <c r="H642" s="6"/>
      <c r="I642" s="22"/>
      <c r="J642" s="10"/>
    </row>
    <row r="643" spans="1:10" s="20" customFormat="1" x14ac:dyDescent="0.25">
      <c r="A643" s="14"/>
      <c r="C643" s="6"/>
      <c r="F643" s="6"/>
      <c r="G643" s="6"/>
      <c r="H643" s="6"/>
      <c r="I643" s="22"/>
      <c r="J643" s="10"/>
    </row>
    <row r="644" spans="1:10" s="20" customFormat="1" x14ac:dyDescent="0.25">
      <c r="A644" s="14"/>
      <c r="C644" s="6"/>
      <c r="F644" s="6"/>
      <c r="G644" s="6"/>
      <c r="H644" s="6"/>
      <c r="I644" s="22"/>
      <c r="J644" s="10"/>
    </row>
    <row r="645" spans="1:10" s="20" customFormat="1" x14ac:dyDescent="0.25">
      <c r="A645" s="14"/>
      <c r="C645" s="6"/>
      <c r="F645" s="6"/>
      <c r="G645" s="6"/>
      <c r="H645" s="6"/>
      <c r="I645" s="22"/>
      <c r="J645" s="10"/>
    </row>
    <row r="646" spans="1:10" s="20" customFormat="1" x14ac:dyDescent="0.25">
      <c r="A646" s="14"/>
      <c r="C646" s="6"/>
      <c r="F646" s="6"/>
      <c r="G646" s="6"/>
      <c r="H646" s="6"/>
      <c r="I646" s="22"/>
      <c r="J646" s="10"/>
    </row>
    <row r="647" spans="1:10" s="20" customFormat="1" x14ac:dyDescent="0.25">
      <c r="A647" s="14"/>
      <c r="C647" s="6"/>
      <c r="F647" s="6"/>
      <c r="G647" s="6"/>
      <c r="H647" s="6"/>
      <c r="I647" s="22"/>
      <c r="J647" s="10"/>
    </row>
    <row r="648" spans="1:10" s="20" customFormat="1" x14ac:dyDescent="0.25">
      <c r="A648" s="14"/>
      <c r="C648" s="6"/>
      <c r="F648" s="6"/>
      <c r="G648" s="6"/>
      <c r="H648" s="6"/>
      <c r="I648" s="22"/>
      <c r="J648" s="10"/>
    </row>
    <row r="649" spans="1:10" s="20" customFormat="1" x14ac:dyDescent="0.25">
      <c r="A649" s="14"/>
      <c r="C649" s="6"/>
      <c r="F649" s="6"/>
      <c r="G649" s="6"/>
      <c r="H649" s="6"/>
      <c r="I649" s="22"/>
      <c r="J649" s="10"/>
    </row>
    <row r="650" spans="1:10" s="20" customFormat="1" x14ac:dyDescent="0.25">
      <c r="A650" s="14"/>
      <c r="C650" s="6"/>
      <c r="F650" s="6"/>
      <c r="G650" s="6"/>
      <c r="H650" s="6"/>
      <c r="I650" s="22"/>
      <c r="J650" s="10"/>
    </row>
    <row r="651" spans="1:10" s="20" customFormat="1" x14ac:dyDescent="0.25">
      <c r="A651" s="14"/>
      <c r="C651" s="6"/>
      <c r="F651" s="6"/>
      <c r="G651" s="6"/>
      <c r="H651" s="6"/>
      <c r="I651" s="22"/>
      <c r="J651" s="10"/>
    </row>
    <row r="652" spans="1:10" s="20" customFormat="1" x14ac:dyDescent="0.25">
      <c r="A652" s="14"/>
      <c r="C652" s="6"/>
      <c r="F652" s="6"/>
      <c r="G652" s="6"/>
      <c r="H652" s="6"/>
      <c r="I652" s="22"/>
      <c r="J652" s="10"/>
    </row>
    <row r="653" spans="1:10" s="20" customFormat="1" x14ac:dyDescent="0.25">
      <c r="A653" s="14"/>
      <c r="C653" s="6"/>
      <c r="F653" s="6"/>
      <c r="G653" s="6"/>
      <c r="H653" s="6"/>
      <c r="I653" s="22"/>
      <c r="J653" s="10"/>
    </row>
    <row r="654" spans="1:10" s="20" customFormat="1" x14ac:dyDescent="0.25">
      <c r="A654" s="14"/>
      <c r="C654" s="6"/>
      <c r="F654" s="6"/>
      <c r="G654" s="6"/>
      <c r="H654" s="6"/>
      <c r="I654" s="22"/>
      <c r="J654" s="10"/>
    </row>
    <row r="655" spans="1:10" s="20" customFormat="1" x14ac:dyDescent="0.25">
      <c r="A655" s="14"/>
      <c r="C655" s="6"/>
      <c r="F655" s="6"/>
      <c r="G655" s="6"/>
      <c r="H655" s="6"/>
      <c r="I655" s="22"/>
      <c r="J655" s="10"/>
    </row>
    <row r="656" spans="1:10" s="20" customFormat="1" x14ac:dyDescent="0.25">
      <c r="A656" s="14"/>
      <c r="C656" s="6"/>
      <c r="F656" s="6"/>
      <c r="G656" s="6"/>
      <c r="H656" s="6"/>
      <c r="I656" s="22"/>
      <c r="J656" s="10"/>
    </row>
    <row r="657" spans="1:10" s="20" customFormat="1" x14ac:dyDescent="0.25">
      <c r="A657" s="14"/>
      <c r="C657" s="6"/>
      <c r="F657" s="6"/>
      <c r="G657" s="6"/>
      <c r="H657" s="6"/>
      <c r="I657" s="22"/>
      <c r="J657" s="10"/>
    </row>
    <row r="658" spans="1:10" s="20" customFormat="1" x14ac:dyDescent="0.25">
      <c r="A658" s="14"/>
      <c r="C658" s="6"/>
      <c r="F658" s="6"/>
      <c r="G658" s="6"/>
      <c r="H658" s="6"/>
      <c r="I658" s="22"/>
      <c r="J658" s="10"/>
    </row>
    <row r="659" spans="1:10" s="20" customFormat="1" x14ac:dyDescent="0.25">
      <c r="A659" s="14"/>
      <c r="C659" s="6"/>
      <c r="F659" s="6"/>
      <c r="G659" s="6"/>
      <c r="H659" s="6"/>
      <c r="I659" s="22"/>
      <c r="J659" s="10"/>
    </row>
    <row r="660" spans="1:10" s="20" customFormat="1" x14ac:dyDescent="0.25">
      <c r="A660" s="14"/>
      <c r="C660" s="6"/>
      <c r="F660" s="6"/>
      <c r="G660" s="6"/>
      <c r="H660" s="6"/>
      <c r="I660" s="22"/>
      <c r="J660" s="10"/>
    </row>
    <row r="661" spans="1:10" s="20" customFormat="1" x14ac:dyDescent="0.25">
      <c r="A661" s="14"/>
      <c r="C661" s="6"/>
      <c r="F661" s="6"/>
      <c r="G661" s="6"/>
      <c r="H661" s="6"/>
      <c r="I661" s="22"/>
      <c r="J661" s="10"/>
    </row>
    <row r="662" spans="1:10" s="20" customFormat="1" x14ac:dyDescent="0.25">
      <c r="A662" s="14"/>
      <c r="C662" s="6"/>
      <c r="F662" s="6"/>
      <c r="G662" s="6"/>
      <c r="H662" s="6"/>
      <c r="I662" s="22"/>
      <c r="J662" s="10"/>
    </row>
    <row r="663" spans="1:10" s="20" customFormat="1" x14ac:dyDescent="0.25">
      <c r="A663" s="14"/>
      <c r="C663" s="6"/>
      <c r="F663" s="6"/>
      <c r="G663" s="6"/>
      <c r="H663" s="6"/>
      <c r="I663" s="22"/>
      <c r="J663" s="10"/>
    </row>
    <row r="664" spans="1:10" s="20" customFormat="1" x14ac:dyDescent="0.25">
      <c r="A664" s="14"/>
      <c r="C664" s="6"/>
      <c r="F664" s="6"/>
      <c r="G664" s="6"/>
      <c r="H664" s="6"/>
      <c r="I664" s="22"/>
      <c r="J664" s="10"/>
    </row>
    <row r="665" spans="1:10" s="20" customFormat="1" x14ac:dyDescent="0.25">
      <c r="A665" s="14"/>
      <c r="C665" s="6"/>
      <c r="F665" s="6"/>
      <c r="G665" s="6"/>
      <c r="H665" s="6"/>
      <c r="I665" s="22"/>
      <c r="J665" s="10"/>
    </row>
    <row r="666" spans="1:10" s="20" customFormat="1" x14ac:dyDescent="0.25">
      <c r="A666" s="14"/>
      <c r="C666" s="6"/>
      <c r="F666" s="6"/>
      <c r="G666" s="6"/>
      <c r="H666" s="6"/>
      <c r="I666" s="22"/>
      <c r="J666" s="10"/>
    </row>
    <row r="667" spans="1:10" s="20" customFormat="1" x14ac:dyDescent="0.25">
      <c r="A667" s="14"/>
      <c r="C667" s="6"/>
      <c r="F667" s="6"/>
      <c r="G667" s="6"/>
      <c r="H667" s="6"/>
      <c r="I667" s="22"/>
      <c r="J667" s="10"/>
    </row>
    <row r="668" spans="1:10" s="20" customFormat="1" x14ac:dyDescent="0.25">
      <c r="A668" s="14"/>
      <c r="C668" s="6"/>
      <c r="F668" s="6"/>
      <c r="G668" s="6"/>
      <c r="H668" s="6"/>
      <c r="I668" s="22"/>
      <c r="J668" s="10"/>
    </row>
    <row r="669" spans="1:10" s="20" customFormat="1" x14ac:dyDescent="0.25">
      <c r="A669" s="14"/>
      <c r="C669" s="6"/>
      <c r="F669" s="6"/>
      <c r="G669" s="6"/>
      <c r="H669" s="6"/>
      <c r="I669" s="22"/>
      <c r="J669" s="10"/>
    </row>
    <row r="670" spans="1:10" s="20" customFormat="1" x14ac:dyDescent="0.25">
      <c r="A670" s="14"/>
      <c r="C670" s="6"/>
      <c r="F670" s="6"/>
      <c r="G670" s="6"/>
      <c r="H670" s="6"/>
      <c r="I670" s="22"/>
      <c r="J670" s="10"/>
    </row>
    <row r="671" spans="1:10" s="20" customFormat="1" x14ac:dyDescent="0.25">
      <c r="A671" s="14"/>
      <c r="C671" s="6"/>
      <c r="F671" s="6"/>
      <c r="G671" s="6"/>
      <c r="H671" s="6"/>
      <c r="I671" s="22"/>
      <c r="J671" s="10"/>
    </row>
    <row r="672" spans="1:10" s="20" customFormat="1" x14ac:dyDescent="0.25">
      <c r="A672" s="14"/>
      <c r="C672" s="6"/>
      <c r="F672" s="6"/>
      <c r="G672" s="6"/>
      <c r="H672" s="6"/>
      <c r="I672" s="22"/>
      <c r="J672" s="10"/>
    </row>
    <row r="673" spans="1:10" s="20" customFormat="1" x14ac:dyDescent="0.25">
      <c r="A673" s="14"/>
      <c r="C673" s="6"/>
      <c r="F673" s="6"/>
      <c r="G673" s="6"/>
      <c r="H673" s="6"/>
      <c r="I673" s="22"/>
      <c r="J673" s="10"/>
    </row>
    <row r="674" spans="1:10" s="20" customFormat="1" x14ac:dyDescent="0.25">
      <c r="A674" s="14"/>
      <c r="C674" s="6"/>
      <c r="F674" s="6"/>
      <c r="G674" s="6"/>
      <c r="H674" s="6"/>
      <c r="I674" s="22"/>
      <c r="J674" s="10"/>
    </row>
    <row r="675" spans="1:10" s="20" customFormat="1" x14ac:dyDescent="0.25">
      <c r="A675" s="14"/>
      <c r="C675" s="6"/>
      <c r="F675" s="6"/>
      <c r="G675" s="6"/>
      <c r="H675" s="6"/>
      <c r="I675" s="22"/>
      <c r="J675" s="10"/>
    </row>
    <row r="676" spans="1:10" s="20" customFormat="1" x14ac:dyDescent="0.25">
      <c r="A676" s="14"/>
      <c r="C676" s="6"/>
      <c r="F676" s="6"/>
      <c r="G676" s="6"/>
      <c r="H676" s="6"/>
      <c r="I676" s="22"/>
      <c r="J676" s="10"/>
    </row>
    <row r="677" spans="1:10" s="20" customFormat="1" x14ac:dyDescent="0.25">
      <c r="A677" s="14"/>
      <c r="C677" s="6"/>
      <c r="F677" s="6"/>
      <c r="G677" s="6"/>
      <c r="H677" s="6"/>
      <c r="I677" s="22"/>
      <c r="J677" s="10"/>
    </row>
    <row r="678" spans="1:10" s="20" customFormat="1" x14ac:dyDescent="0.25">
      <c r="A678" s="14"/>
      <c r="C678" s="6"/>
      <c r="F678" s="6"/>
      <c r="G678" s="6"/>
      <c r="H678" s="6"/>
      <c r="I678" s="22"/>
      <c r="J678" s="10"/>
    </row>
    <row r="679" spans="1:10" s="20" customFormat="1" x14ac:dyDescent="0.25">
      <c r="A679" s="14"/>
      <c r="C679" s="6"/>
      <c r="F679" s="6"/>
      <c r="G679" s="6"/>
      <c r="H679" s="6"/>
      <c r="I679" s="22"/>
      <c r="J679" s="10"/>
    </row>
    <row r="680" spans="1:10" s="20" customFormat="1" x14ac:dyDescent="0.25">
      <c r="A680" s="14"/>
      <c r="C680" s="6"/>
      <c r="F680" s="6"/>
      <c r="G680" s="6"/>
      <c r="H680" s="6"/>
      <c r="I680" s="22"/>
      <c r="J680" s="10"/>
    </row>
    <row r="681" spans="1:10" s="20" customFormat="1" x14ac:dyDescent="0.25">
      <c r="A681" s="14"/>
      <c r="C681" s="6"/>
      <c r="F681" s="6"/>
      <c r="G681" s="6"/>
      <c r="H681" s="6"/>
      <c r="I681" s="22"/>
      <c r="J681" s="10"/>
    </row>
    <row r="682" spans="1:10" s="20" customFormat="1" x14ac:dyDescent="0.25">
      <c r="A682" s="14"/>
      <c r="C682" s="6"/>
      <c r="F682" s="6"/>
      <c r="G682" s="6"/>
      <c r="H682" s="6"/>
      <c r="I682" s="22"/>
      <c r="J682" s="10"/>
    </row>
    <row r="683" spans="1:10" s="20" customFormat="1" x14ac:dyDescent="0.25">
      <c r="A683" s="14"/>
      <c r="C683" s="6"/>
      <c r="F683" s="6"/>
      <c r="G683" s="6"/>
      <c r="H683" s="6"/>
      <c r="I683" s="22"/>
      <c r="J683" s="10"/>
    </row>
    <row r="684" spans="1:10" s="20" customFormat="1" x14ac:dyDescent="0.25">
      <c r="A684" s="14"/>
      <c r="C684" s="6"/>
      <c r="F684" s="6"/>
      <c r="G684" s="6"/>
      <c r="H684" s="6"/>
      <c r="I684" s="22"/>
      <c r="J684" s="10"/>
    </row>
    <row r="685" spans="1:10" s="20" customFormat="1" x14ac:dyDescent="0.25">
      <c r="A685" s="14"/>
      <c r="C685" s="6"/>
      <c r="F685" s="6"/>
      <c r="G685" s="6"/>
      <c r="H685" s="6"/>
      <c r="I685" s="22"/>
      <c r="J685" s="10"/>
    </row>
    <row r="686" spans="1:10" s="20" customFormat="1" x14ac:dyDescent="0.25">
      <c r="A686" s="14"/>
      <c r="C686" s="6"/>
      <c r="F686" s="6"/>
      <c r="G686" s="6"/>
      <c r="H686" s="6"/>
      <c r="I686" s="22"/>
      <c r="J686" s="10"/>
    </row>
    <row r="687" spans="1:10" s="20" customFormat="1" x14ac:dyDescent="0.25">
      <c r="A687" s="14"/>
      <c r="C687" s="6"/>
      <c r="F687" s="6"/>
      <c r="G687" s="6"/>
      <c r="H687" s="6"/>
      <c r="I687" s="22"/>
      <c r="J687" s="10"/>
    </row>
    <row r="688" spans="1:10" s="20" customFormat="1" x14ac:dyDescent="0.25">
      <c r="A688" s="14"/>
      <c r="C688" s="6"/>
      <c r="F688" s="6"/>
      <c r="G688" s="6"/>
      <c r="H688" s="6"/>
      <c r="I688" s="22"/>
      <c r="J688" s="10"/>
    </row>
    <row r="689" spans="1:10" s="20" customFormat="1" x14ac:dyDescent="0.25">
      <c r="A689" s="14"/>
      <c r="C689" s="6"/>
      <c r="F689" s="6"/>
      <c r="G689" s="6"/>
      <c r="H689" s="6"/>
      <c r="I689" s="22"/>
      <c r="J689" s="10"/>
    </row>
    <row r="690" spans="1:10" s="20" customFormat="1" x14ac:dyDescent="0.25">
      <c r="A690" s="14"/>
      <c r="C690" s="6"/>
      <c r="F690" s="6"/>
      <c r="G690" s="6"/>
      <c r="H690" s="6"/>
      <c r="I690" s="22"/>
      <c r="J690" s="10"/>
    </row>
    <row r="691" spans="1:10" s="20" customFormat="1" x14ac:dyDescent="0.25">
      <c r="A691" s="14"/>
      <c r="C691" s="6"/>
      <c r="F691" s="6"/>
      <c r="G691" s="6"/>
      <c r="H691" s="6"/>
      <c r="I691" s="22"/>
      <c r="J691" s="10"/>
    </row>
    <row r="692" spans="1:10" s="20" customFormat="1" x14ac:dyDescent="0.25">
      <c r="A692" s="14"/>
      <c r="C692" s="6"/>
      <c r="F692" s="6"/>
      <c r="G692" s="6"/>
      <c r="H692" s="6"/>
      <c r="I692" s="22"/>
      <c r="J692" s="10"/>
    </row>
    <row r="693" spans="1:10" s="20" customFormat="1" x14ac:dyDescent="0.25">
      <c r="A693" s="14"/>
      <c r="C693" s="6"/>
      <c r="F693" s="6"/>
      <c r="G693" s="6"/>
      <c r="H693" s="6"/>
      <c r="I693" s="22"/>
      <c r="J693" s="10"/>
    </row>
    <row r="694" spans="1:10" s="20" customFormat="1" x14ac:dyDescent="0.25">
      <c r="A694" s="14"/>
      <c r="C694" s="6"/>
      <c r="F694" s="6"/>
      <c r="G694" s="6"/>
      <c r="H694" s="6"/>
      <c r="I694" s="22"/>
      <c r="J694" s="10"/>
    </row>
    <row r="695" spans="1:10" s="20" customFormat="1" x14ac:dyDescent="0.25">
      <c r="A695" s="14"/>
      <c r="C695" s="6"/>
      <c r="F695" s="6"/>
      <c r="G695" s="6"/>
      <c r="H695" s="6"/>
      <c r="I695" s="22"/>
      <c r="J695" s="10"/>
    </row>
    <row r="696" spans="1:10" s="20" customFormat="1" x14ac:dyDescent="0.25">
      <c r="A696" s="14"/>
      <c r="C696" s="6"/>
      <c r="F696" s="6"/>
      <c r="G696" s="6"/>
      <c r="H696" s="6"/>
      <c r="I696" s="22"/>
      <c r="J696" s="10"/>
    </row>
    <row r="697" spans="1:10" s="20" customFormat="1" x14ac:dyDescent="0.25">
      <c r="A697" s="14"/>
      <c r="C697" s="6"/>
      <c r="F697" s="6"/>
      <c r="G697" s="6"/>
      <c r="H697" s="6"/>
      <c r="I697" s="22"/>
      <c r="J697" s="10"/>
    </row>
    <row r="698" spans="1:10" s="20" customFormat="1" x14ac:dyDescent="0.25">
      <c r="A698" s="14"/>
      <c r="C698" s="6"/>
      <c r="F698" s="6"/>
      <c r="G698" s="6"/>
      <c r="H698" s="6"/>
      <c r="I698" s="22"/>
      <c r="J698" s="10"/>
    </row>
    <row r="699" spans="1:10" s="20" customFormat="1" x14ac:dyDescent="0.25">
      <c r="A699" s="14"/>
      <c r="C699" s="6"/>
      <c r="F699" s="6"/>
      <c r="G699" s="6"/>
      <c r="H699" s="6"/>
      <c r="I699" s="22"/>
      <c r="J699" s="10"/>
    </row>
    <row r="700" spans="1:10" s="20" customFormat="1" x14ac:dyDescent="0.25">
      <c r="A700" s="14"/>
      <c r="C700" s="6"/>
      <c r="F700" s="6"/>
      <c r="G700" s="6"/>
      <c r="H700" s="6"/>
      <c r="I700" s="22"/>
      <c r="J700" s="10"/>
    </row>
    <row r="701" spans="1:10" s="20" customFormat="1" x14ac:dyDescent="0.25">
      <c r="A701" s="14"/>
      <c r="C701" s="6"/>
      <c r="F701" s="6"/>
      <c r="G701" s="6"/>
      <c r="H701" s="6"/>
      <c r="I701" s="22"/>
      <c r="J701" s="10"/>
    </row>
    <row r="702" spans="1:10" s="20" customFormat="1" x14ac:dyDescent="0.25">
      <c r="A702" s="14"/>
      <c r="C702" s="6"/>
      <c r="F702" s="6"/>
      <c r="G702" s="6"/>
      <c r="H702" s="6"/>
      <c r="I702" s="22"/>
      <c r="J702" s="10"/>
    </row>
    <row r="703" spans="1:10" s="20" customFormat="1" x14ac:dyDescent="0.25">
      <c r="A703" s="14"/>
      <c r="C703" s="6"/>
      <c r="F703" s="6"/>
      <c r="G703" s="6"/>
      <c r="H703" s="6"/>
      <c r="I703" s="22"/>
      <c r="J703" s="10"/>
    </row>
    <row r="704" spans="1:10" s="20" customFormat="1" x14ac:dyDescent="0.25">
      <c r="A704" s="14"/>
      <c r="C704" s="6"/>
      <c r="F704" s="6"/>
      <c r="G704" s="6"/>
      <c r="H704" s="6"/>
      <c r="I704" s="22"/>
      <c r="J704" s="10"/>
    </row>
    <row r="705" spans="1:10" s="20" customFormat="1" x14ac:dyDescent="0.25">
      <c r="A705" s="14"/>
      <c r="C705" s="6"/>
      <c r="F705" s="6"/>
      <c r="G705" s="6"/>
      <c r="H705" s="6"/>
      <c r="I705" s="22"/>
      <c r="J705" s="10"/>
    </row>
    <row r="706" spans="1:10" s="20" customFormat="1" x14ac:dyDescent="0.25">
      <c r="A706" s="14"/>
      <c r="C706" s="6"/>
      <c r="F706" s="6"/>
      <c r="G706" s="6"/>
      <c r="H706" s="6"/>
      <c r="I706" s="22"/>
      <c r="J706" s="10"/>
    </row>
    <row r="707" spans="1:10" s="20" customFormat="1" x14ac:dyDescent="0.25">
      <c r="A707" s="14"/>
      <c r="C707" s="6"/>
      <c r="F707" s="6"/>
      <c r="G707" s="6"/>
      <c r="H707" s="6"/>
      <c r="I707" s="22"/>
      <c r="J707" s="10"/>
    </row>
    <row r="708" spans="1:10" s="20" customFormat="1" x14ac:dyDescent="0.25">
      <c r="A708" s="14"/>
      <c r="C708" s="6"/>
      <c r="F708" s="6"/>
      <c r="G708" s="6"/>
      <c r="H708" s="6"/>
      <c r="I708" s="22"/>
      <c r="J708" s="10"/>
    </row>
    <row r="709" spans="1:10" s="20" customFormat="1" x14ac:dyDescent="0.25">
      <c r="A709" s="14"/>
      <c r="C709" s="6"/>
      <c r="F709" s="6"/>
      <c r="G709" s="6"/>
      <c r="H709" s="6"/>
      <c r="I709" s="22"/>
      <c r="J709" s="10"/>
    </row>
    <row r="710" spans="1:10" s="20" customFormat="1" x14ac:dyDescent="0.25">
      <c r="A710" s="14"/>
      <c r="C710" s="6"/>
      <c r="F710" s="6"/>
      <c r="G710" s="6"/>
      <c r="H710" s="6"/>
      <c r="I710" s="22"/>
      <c r="J710" s="10"/>
    </row>
    <row r="711" spans="1:10" s="20" customFormat="1" x14ac:dyDescent="0.25">
      <c r="A711" s="14"/>
      <c r="C711" s="6"/>
      <c r="F711" s="6"/>
      <c r="G711" s="6"/>
      <c r="H711" s="6"/>
      <c r="I711" s="22"/>
      <c r="J711" s="10"/>
    </row>
    <row r="712" spans="1:10" s="20" customFormat="1" x14ac:dyDescent="0.25">
      <c r="A712" s="14"/>
      <c r="C712" s="6"/>
      <c r="F712" s="6"/>
      <c r="G712" s="6"/>
      <c r="H712" s="6"/>
      <c r="I712" s="22"/>
      <c r="J712" s="10"/>
    </row>
    <row r="713" spans="1:10" s="20" customFormat="1" x14ac:dyDescent="0.25">
      <c r="A713" s="14"/>
      <c r="C713" s="6"/>
      <c r="F713" s="6"/>
      <c r="G713" s="6"/>
      <c r="H713" s="6"/>
      <c r="I713" s="22"/>
      <c r="J713" s="10"/>
    </row>
    <row r="714" spans="1:10" s="20" customFormat="1" x14ac:dyDescent="0.25">
      <c r="A714" s="14"/>
      <c r="C714" s="6"/>
      <c r="F714" s="6"/>
      <c r="G714" s="6"/>
      <c r="H714" s="6"/>
      <c r="I714" s="22"/>
      <c r="J714" s="10"/>
    </row>
    <row r="715" spans="1:10" s="20" customFormat="1" x14ac:dyDescent="0.25">
      <c r="A715" s="14"/>
      <c r="C715" s="6"/>
      <c r="F715" s="6"/>
      <c r="G715" s="6"/>
      <c r="H715" s="6"/>
      <c r="I715" s="22"/>
      <c r="J715" s="10"/>
    </row>
    <row r="716" spans="1:10" s="20" customFormat="1" x14ac:dyDescent="0.25">
      <c r="A716" s="14"/>
      <c r="C716" s="6"/>
      <c r="F716" s="6"/>
      <c r="G716" s="6"/>
      <c r="H716" s="6"/>
      <c r="I716" s="22"/>
      <c r="J716" s="10"/>
    </row>
    <row r="717" spans="1:10" s="20" customFormat="1" x14ac:dyDescent="0.25">
      <c r="A717" s="14"/>
      <c r="C717" s="6"/>
      <c r="F717" s="6"/>
      <c r="G717" s="6"/>
      <c r="H717" s="6"/>
      <c r="I717" s="22"/>
      <c r="J717" s="10"/>
    </row>
    <row r="718" spans="1:10" s="20" customFormat="1" x14ac:dyDescent="0.25">
      <c r="A718" s="14"/>
      <c r="C718" s="6"/>
      <c r="F718" s="6"/>
      <c r="G718" s="6"/>
      <c r="H718" s="6"/>
      <c r="I718" s="22"/>
      <c r="J718" s="10"/>
    </row>
    <row r="719" spans="1:10" s="20" customFormat="1" x14ac:dyDescent="0.25">
      <c r="A719" s="14"/>
      <c r="C719" s="6"/>
      <c r="F719" s="6"/>
      <c r="G719" s="6"/>
      <c r="H719" s="6"/>
      <c r="I719" s="22"/>
      <c r="J719" s="10"/>
    </row>
    <row r="720" spans="1:10" s="20" customFormat="1" x14ac:dyDescent="0.25">
      <c r="A720" s="14"/>
      <c r="C720" s="6"/>
      <c r="F720" s="6"/>
      <c r="G720" s="6"/>
      <c r="H720" s="6"/>
      <c r="I720" s="22"/>
      <c r="J720" s="10"/>
    </row>
    <row r="721" spans="1:10" s="20" customFormat="1" x14ac:dyDescent="0.25">
      <c r="A721" s="14"/>
      <c r="C721" s="6"/>
      <c r="F721" s="6"/>
      <c r="G721" s="6"/>
      <c r="H721" s="6"/>
      <c r="I721" s="22"/>
      <c r="J721" s="10"/>
    </row>
    <row r="722" spans="1:10" s="20" customFormat="1" x14ac:dyDescent="0.25">
      <c r="A722" s="14"/>
      <c r="C722" s="6"/>
      <c r="F722" s="6"/>
      <c r="G722" s="6"/>
      <c r="H722" s="6"/>
      <c r="I722" s="22"/>
      <c r="J722" s="10"/>
    </row>
    <row r="723" spans="1:10" s="20" customFormat="1" x14ac:dyDescent="0.25">
      <c r="A723" s="14"/>
      <c r="C723" s="6"/>
      <c r="F723" s="6"/>
      <c r="G723" s="6"/>
      <c r="H723" s="6"/>
      <c r="I723" s="22"/>
      <c r="J723" s="10"/>
    </row>
    <row r="724" spans="1:10" s="20" customFormat="1" x14ac:dyDescent="0.25">
      <c r="A724" s="14"/>
      <c r="C724" s="6"/>
      <c r="F724" s="6"/>
      <c r="G724" s="6"/>
      <c r="H724" s="6"/>
      <c r="I724" s="22"/>
      <c r="J724" s="10"/>
    </row>
    <row r="725" spans="1:10" s="20" customFormat="1" x14ac:dyDescent="0.25">
      <c r="A725" s="14"/>
      <c r="C725" s="6"/>
      <c r="F725" s="6"/>
      <c r="G725" s="6"/>
      <c r="H725" s="6"/>
      <c r="I725" s="22"/>
      <c r="J725" s="10"/>
    </row>
    <row r="726" spans="1:10" s="20" customFormat="1" x14ac:dyDescent="0.25">
      <c r="A726" s="14"/>
      <c r="C726" s="6"/>
      <c r="F726" s="6"/>
      <c r="G726" s="6"/>
      <c r="H726" s="6"/>
      <c r="I726" s="22"/>
      <c r="J726" s="10"/>
    </row>
    <row r="727" spans="1:10" s="20" customFormat="1" x14ac:dyDescent="0.25">
      <c r="A727" s="14"/>
      <c r="C727" s="6"/>
      <c r="F727" s="6"/>
      <c r="G727" s="6"/>
      <c r="H727" s="6"/>
      <c r="I727" s="22"/>
      <c r="J727" s="10"/>
    </row>
    <row r="728" spans="1:10" s="20" customFormat="1" x14ac:dyDescent="0.25">
      <c r="A728" s="14"/>
      <c r="C728" s="6"/>
      <c r="F728" s="6"/>
      <c r="G728" s="6"/>
      <c r="H728" s="6"/>
      <c r="I728" s="22"/>
      <c r="J728" s="10"/>
    </row>
    <row r="729" spans="1:10" s="20" customFormat="1" x14ac:dyDescent="0.25">
      <c r="A729" s="14"/>
      <c r="C729" s="6"/>
      <c r="F729" s="6"/>
      <c r="G729" s="6"/>
      <c r="H729" s="6"/>
      <c r="I729" s="22"/>
      <c r="J729" s="10"/>
    </row>
    <row r="730" spans="1:10" s="20" customFormat="1" x14ac:dyDescent="0.25">
      <c r="A730" s="14"/>
      <c r="C730" s="6"/>
      <c r="F730" s="6"/>
      <c r="G730" s="6"/>
      <c r="H730" s="6"/>
      <c r="I730" s="22"/>
      <c r="J730" s="10"/>
    </row>
    <row r="731" spans="1:10" s="20" customFormat="1" x14ac:dyDescent="0.25">
      <c r="A731" s="14"/>
      <c r="C731" s="6"/>
      <c r="F731" s="6"/>
      <c r="G731" s="6"/>
      <c r="H731" s="6"/>
      <c r="I731" s="22"/>
      <c r="J731" s="10"/>
    </row>
    <row r="732" spans="1:10" s="20" customFormat="1" x14ac:dyDescent="0.25">
      <c r="A732" s="14"/>
      <c r="C732" s="6"/>
      <c r="F732" s="6"/>
      <c r="G732" s="6"/>
      <c r="H732" s="6"/>
      <c r="I732" s="22"/>
      <c r="J732" s="10"/>
    </row>
    <row r="733" spans="1:10" s="20" customFormat="1" x14ac:dyDescent="0.25">
      <c r="A733" s="14"/>
      <c r="C733" s="6"/>
      <c r="F733" s="6"/>
      <c r="G733" s="6"/>
      <c r="H733" s="6"/>
      <c r="I733" s="22"/>
      <c r="J733" s="10"/>
    </row>
    <row r="734" spans="1:10" s="20" customFormat="1" x14ac:dyDescent="0.25">
      <c r="A734" s="14"/>
      <c r="C734" s="6"/>
      <c r="F734" s="6"/>
      <c r="G734" s="6"/>
      <c r="H734" s="6"/>
      <c r="I734" s="22"/>
      <c r="J734" s="10"/>
    </row>
    <row r="735" spans="1:10" s="20" customFormat="1" x14ac:dyDescent="0.25">
      <c r="A735" s="14"/>
      <c r="C735" s="6"/>
      <c r="F735" s="6"/>
      <c r="G735" s="6"/>
      <c r="H735" s="6"/>
      <c r="I735" s="22"/>
      <c r="J735" s="10"/>
    </row>
    <row r="736" spans="1:10" s="20" customFormat="1" x14ac:dyDescent="0.25">
      <c r="A736" s="14"/>
      <c r="C736" s="6"/>
      <c r="F736" s="6"/>
      <c r="G736" s="6"/>
      <c r="H736" s="6"/>
      <c r="I736" s="22"/>
      <c r="J736" s="10"/>
    </row>
    <row r="737" spans="1:10" s="20" customFormat="1" x14ac:dyDescent="0.25">
      <c r="A737" s="14"/>
      <c r="C737" s="6"/>
      <c r="F737" s="6"/>
      <c r="G737" s="6"/>
      <c r="H737" s="6"/>
      <c r="I737" s="22"/>
      <c r="J737" s="10"/>
    </row>
    <row r="738" spans="1:10" s="20" customFormat="1" x14ac:dyDescent="0.25">
      <c r="A738" s="14"/>
      <c r="C738" s="6"/>
      <c r="F738" s="6"/>
      <c r="G738" s="6"/>
      <c r="H738" s="6"/>
      <c r="I738" s="22"/>
      <c r="J738" s="10"/>
    </row>
    <row r="739" spans="1:10" s="20" customFormat="1" x14ac:dyDescent="0.25">
      <c r="A739" s="14"/>
      <c r="C739" s="6"/>
      <c r="F739" s="6"/>
      <c r="G739" s="6"/>
      <c r="H739" s="6"/>
      <c r="I739" s="22"/>
      <c r="J739" s="10"/>
    </row>
    <row r="740" spans="1:10" s="20" customFormat="1" x14ac:dyDescent="0.25">
      <c r="A740" s="14"/>
      <c r="C740" s="6"/>
      <c r="F740" s="6"/>
      <c r="G740" s="6"/>
      <c r="H740" s="6"/>
      <c r="I740" s="22"/>
      <c r="J740" s="10"/>
    </row>
    <row r="741" spans="1:10" s="20" customFormat="1" x14ac:dyDescent="0.25">
      <c r="A741" s="14"/>
      <c r="C741" s="6"/>
      <c r="F741" s="6"/>
      <c r="G741" s="6"/>
      <c r="H741" s="6"/>
      <c r="I741" s="22"/>
      <c r="J741" s="10"/>
    </row>
    <row r="742" spans="1:10" s="20" customFormat="1" x14ac:dyDescent="0.25">
      <c r="A742" s="14"/>
      <c r="C742" s="6"/>
      <c r="F742" s="6"/>
      <c r="G742" s="6"/>
      <c r="H742" s="6"/>
      <c r="I742" s="22"/>
      <c r="J742" s="10"/>
    </row>
    <row r="743" spans="1:10" s="20" customFormat="1" x14ac:dyDescent="0.25">
      <c r="A743" s="14"/>
      <c r="C743" s="6"/>
      <c r="F743" s="6"/>
      <c r="G743" s="6"/>
      <c r="H743" s="6"/>
      <c r="I743" s="22"/>
      <c r="J743" s="10"/>
    </row>
    <row r="744" spans="1:10" s="20" customFormat="1" x14ac:dyDescent="0.25">
      <c r="A744" s="14"/>
      <c r="C744" s="6"/>
      <c r="F744" s="6"/>
      <c r="G744" s="6"/>
      <c r="H744" s="6"/>
      <c r="I744" s="22"/>
      <c r="J744" s="10"/>
    </row>
    <row r="745" spans="1:10" s="20" customFormat="1" x14ac:dyDescent="0.25">
      <c r="A745" s="14"/>
      <c r="C745" s="6"/>
      <c r="F745" s="6"/>
      <c r="G745" s="6"/>
      <c r="H745" s="6"/>
      <c r="I745" s="22"/>
      <c r="J745" s="10"/>
    </row>
    <row r="746" spans="1:10" s="20" customFormat="1" x14ac:dyDescent="0.25">
      <c r="A746" s="14"/>
      <c r="C746" s="6"/>
      <c r="F746" s="6"/>
      <c r="G746" s="6"/>
      <c r="H746" s="6"/>
      <c r="I746" s="22"/>
      <c r="J746" s="10"/>
    </row>
    <row r="747" spans="1:10" s="20" customFormat="1" x14ac:dyDescent="0.25">
      <c r="A747" s="14"/>
      <c r="C747" s="6"/>
      <c r="F747" s="6"/>
      <c r="G747" s="6"/>
      <c r="H747" s="6"/>
      <c r="I747" s="22"/>
      <c r="J747" s="10"/>
    </row>
    <row r="748" spans="1:10" s="20" customFormat="1" x14ac:dyDescent="0.25">
      <c r="A748" s="14"/>
      <c r="C748" s="6"/>
      <c r="F748" s="6"/>
      <c r="G748" s="6"/>
      <c r="H748" s="6"/>
      <c r="I748" s="22"/>
      <c r="J748" s="10"/>
    </row>
    <row r="749" spans="1:10" s="20" customFormat="1" x14ac:dyDescent="0.25">
      <c r="A749" s="14"/>
      <c r="C749" s="6"/>
      <c r="F749" s="6"/>
      <c r="G749" s="6"/>
      <c r="H749" s="6"/>
      <c r="I749" s="22"/>
      <c r="J749" s="10"/>
    </row>
    <row r="750" spans="1:10" s="20" customFormat="1" x14ac:dyDescent="0.25">
      <c r="A750" s="14"/>
      <c r="C750" s="6"/>
      <c r="F750" s="6"/>
      <c r="G750" s="6"/>
      <c r="H750" s="6"/>
      <c r="I750" s="22"/>
      <c r="J750" s="10"/>
    </row>
    <row r="751" spans="1:10" s="20" customFormat="1" x14ac:dyDescent="0.25">
      <c r="A751" s="14"/>
      <c r="C751" s="6"/>
      <c r="F751" s="6"/>
      <c r="G751" s="6"/>
      <c r="H751" s="6"/>
      <c r="I751" s="22"/>
      <c r="J751" s="10"/>
    </row>
    <row r="752" spans="1:10" s="20" customFormat="1" x14ac:dyDescent="0.25">
      <c r="A752" s="14"/>
      <c r="C752" s="6"/>
      <c r="F752" s="6"/>
      <c r="G752" s="6"/>
      <c r="H752" s="6"/>
      <c r="I752" s="22"/>
      <c r="J752" s="10"/>
    </row>
    <row r="753" spans="1:10" s="20" customFormat="1" x14ac:dyDescent="0.25">
      <c r="A753" s="14"/>
      <c r="C753" s="6"/>
      <c r="F753" s="6"/>
      <c r="G753" s="6"/>
      <c r="H753" s="6"/>
      <c r="I753" s="22"/>
      <c r="J753" s="10"/>
    </row>
    <row r="754" spans="1:10" s="20" customFormat="1" x14ac:dyDescent="0.25">
      <c r="A754" s="14"/>
      <c r="C754" s="6"/>
      <c r="F754" s="6"/>
      <c r="G754" s="6"/>
      <c r="H754" s="6"/>
      <c r="I754" s="22"/>
      <c r="J754" s="10"/>
    </row>
    <row r="755" spans="1:10" s="20" customFormat="1" x14ac:dyDescent="0.25">
      <c r="A755" s="14"/>
      <c r="C755" s="6"/>
      <c r="F755" s="6"/>
      <c r="G755" s="6"/>
      <c r="H755" s="6"/>
      <c r="I755" s="22"/>
      <c r="J755" s="10"/>
    </row>
    <row r="756" spans="1:10" s="20" customFormat="1" x14ac:dyDescent="0.25">
      <c r="A756" s="14"/>
      <c r="C756" s="6"/>
      <c r="F756" s="6"/>
      <c r="G756" s="6"/>
      <c r="H756" s="6"/>
      <c r="I756" s="22"/>
      <c r="J756" s="10"/>
    </row>
    <row r="757" spans="1:10" s="20" customFormat="1" x14ac:dyDescent="0.25">
      <c r="A757" s="14"/>
      <c r="C757" s="6"/>
      <c r="F757" s="6"/>
      <c r="G757" s="6"/>
      <c r="H757" s="6"/>
      <c r="I757" s="22"/>
      <c r="J757" s="10"/>
    </row>
    <row r="758" spans="1:10" s="20" customFormat="1" x14ac:dyDescent="0.25">
      <c r="A758" s="14"/>
      <c r="C758" s="6"/>
      <c r="F758" s="6"/>
      <c r="G758" s="6"/>
      <c r="H758" s="6"/>
      <c r="I758" s="22"/>
      <c r="J758" s="10"/>
    </row>
    <row r="759" spans="1:10" s="20" customFormat="1" x14ac:dyDescent="0.25">
      <c r="A759" s="14"/>
      <c r="C759" s="6"/>
      <c r="F759" s="6"/>
      <c r="G759" s="6"/>
      <c r="H759" s="6"/>
      <c r="I759" s="22"/>
      <c r="J759" s="10"/>
    </row>
    <row r="760" spans="1:10" s="20" customFormat="1" x14ac:dyDescent="0.25">
      <c r="A760" s="14"/>
      <c r="C760" s="6"/>
      <c r="F760" s="6"/>
      <c r="G760" s="6"/>
      <c r="H760" s="6"/>
      <c r="I760" s="22"/>
      <c r="J760" s="10"/>
    </row>
    <row r="761" spans="1:10" s="20" customFormat="1" x14ac:dyDescent="0.25">
      <c r="A761" s="14"/>
      <c r="C761" s="6"/>
      <c r="F761" s="6"/>
      <c r="G761" s="6"/>
      <c r="H761" s="6"/>
      <c r="I761" s="22"/>
      <c r="J761" s="10"/>
    </row>
    <row r="762" spans="1:10" s="20" customFormat="1" x14ac:dyDescent="0.25">
      <c r="A762" s="14"/>
      <c r="C762" s="6"/>
      <c r="F762" s="6"/>
      <c r="G762" s="6"/>
      <c r="H762" s="6"/>
      <c r="I762" s="22"/>
      <c r="J762" s="10"/>
    </row>
    <row r="763" spans="1:10" s="20" customFormat="1" x14ac:dyDescent="0.25">
      <c r="A763" s="14"/>
      <c r="C763" s="6"/>
      <c r="F763" s="6"/>
      <c r="G763" s="6"/>
      <c r="H763" s="6"/>
      <c r="I763" s="22"/>
      <c r="J763" s="10"/>
    </row>
    <row r="764" spans="1:10" s="20" customFormat="1" x14ac:dyDescent="0.25">
      <c r="A764" s="14"/>
      <c r="C764" s="6"/>
      <c r="F764" s="6"/>
      <c r="G764" s="6"/>
      <c r="H764" s="6"/>
      <c r="I764" s="22"/>
      <c r="J764" s="10"/>
    </row>
    <row r="765" spans="1:10" s="20" customFormat="1" x14ac:dyDescent="0.25">
      <c r="A765" s="14"/>
      <c r="C765" s="6"/>
      <c r="F765" s="6"/>
      <c r="G765" s="6"/>
      <c r="H765" s="6"/>
      <c r="I765" s="22"/>
      <c r="J765" s="10"/>
    </row>
    <row r="766" spans="1:10" s="20" customFormat="1" x14ac:dyDescent="0.25">
      <c r="A766" s="14"/>
      <c r="C766" s="6"/>
      <c r="F766" s="6"/>
      <c r="G766" s="6"/>
      <c r="H766" s="6"/>
      <c r="I766" s="22"/>
      <c r="J766" s="10"/>
    </row>
    <row r="767" spans="1:10" s="20" customFormat="1" x14ac:dyDescent="0.25">
      <c r="A767" s="14"/>
      <c r="C767" s="6"/>
      <c r="F767" s="6"/>
      <c r="G767" s="6"/>
      <c r="H767" s="6"/>
      <c r="I767" s="22"/>
      <c r="J767" s="10"/>
    </row>
    <row r="768" spans="1:10" s="20" customFormat="1" x14ac:dyDescent="0.25">
      <c r="A768" s="14"/>
      <c r="C768" s="6"/>
      <c r="F768" s="6"/>
      <c r="G768" s="6"/>
      <c r="H768" s="6"/>
      <c r="I768" s="22"/>
      <c r="J768" s="10"/>
    </row>
    <row r="769" spans="1:10" s="20" customFormat="1" x14ac:dyDescent="0.25">
      <c r="A769" s="14"/>
      <c r="C769" s="6"/>
      <c r="F769" s="6"/>
      <c r="G769" s="6"/>
      <c r="H769" s="6"/>
      <c r="I769" s="22"/>
      <c r="J769" s="10"/>
    </row>
    <row r="770" spans="1:10" s="20" customFormat="1" x14ac:dyDescent="0.25">
      <c r="A770" s="14"/>
      <c r="C770" s="6"/>
      <c r="F770" s="6"/>
      <c r="G770" s="6"/>
      <c r="H770" s="6"/>
      <c r="I770" s="22"/>
      <c r="J770" s="10"/>
    </row>
    <row r="771" spans="1:10" s="20" customFormat="1" x14ac:dyDescent="0.25">
      <c r="A771" s="14"/>
      <c r="C771" s="6"/>
      <c r="F771" s="6"/>
      <c r="G771" s="6"/>
      <c r="H771" s="6"/>
      <c r="I771" s="22"/>
      <c r="J771" s="10"/>
    </row>
    <row r="772" spans="1:10" s="20" customFormat="1" x14ac:dyDescent="0.25">
      <c r="A772" s="14"/>
      <c r="C772" s="6"/>
      <c r="F772" s="6"/>
      <c r="G772" s="6"/>
      <c r="H772" s="6"/>
      <c r="I772" s="22"/>
      <c r="J772" s="10"/>
    </row>
    <row r="773" spans="1:10" s="20" customFormat="1" x14ac:dyDescent="0.25">
      <c r="A773" s="14"/>
      <c r="C773" s="6"/>
      <c r="F773" s="6"/>
      <c r="G773" s="6"/>
      <c r="H773" s="6"/>
      <c r="I773" s="22"/>
      <c r="J773" s="10"/>
    </row>
    <row r="774" spans="1:10" s="20" customFormat="1" x14ac:dyDescent="0.25">
      <c r="A774" s="14"/>
      <c r="C774" s="6"/>
      <c r="F774" s="6"/>
      <c r="G774" s="6"/>
      <c r="H774" s="6"/>
      <c r="I774" s="22"/>
      <c r="J774" s="10"/>
    </row>
    <row r="775" spans="1:10" s="20" customFormat="1" x14ac:dyDescent="0.25">
      <c r="A775" s="14"/>
      <c r="C775" s="6"/>
      <c r="F775" s="6"/>
      <c r="G775" s="6"/>
      <c r="H775" s="6"/>
      <c r="I775" s="22"/>
      <c r="J775" s="10"/>
    </row>
    <row r="776" spans="1:10" s="20" customFormat="1" x14ac:dyDescent="0.25">
      <c r="A776" s="14"/>
      <c r="C776" s="6"/>
      <c r="F776" s="6"/>
      <c r="G776" s="6"/>
      <c r="H776" s="6"/>
      <c r="I776" s="22"/>
      <c r="J776" s="10"/>
    </row>
    <row r="777" spans="1:10" s="20" customFormat="1" x14ac:dyDescent="0.25">
      <c r="A777" s="14"/>
      <c r="C777" s="6"/>
      <c r="F777" s="6"/>
      <c r="G777" s="6"/>
      <c r="H777" s="6"/>
      <c r="I777" s="22"/>
      <c r="J777" s="10"/>
    </row>
    <row r="778" spans="1:10" s="20" customFormat="1" x14ac:dyDescent="0.25">
      <c r="A778" s="14"/>
      <c r="C778" s="6"/>
      <c r="F778" s="6"/>
      <c r="G778" s="6"/>
      <c r="H778" s="6"/>
      <c r="I778" s="22"/>
      <c r="J778" s="10"/>
    </row>
    <row r="779" spans="1:10" s="20" customFormat="1" x14ac:dyDescent="0.25">
      <c r="A779" s="14"/>
      <c r="C779" s="6"/>
      <c r="F779" s="6"/>
      <c r="G779" s="6"/>
      <c r="H779" s="6"/>
      <c r="I779" s="22"/>
      <c r="J779" s="10"/>
    </row>
    <row r="780" spans="1:10" s="20" customFormat="1" x14ac:dyDescent="0.25">
      <c r="A780" s="14"/>
      <c r="C780" s="6"/>
      <c r="F780" s="6"/>
      <c r="G780" s="6"/>
      <c r="H780" s="6"/>
      <c r="I780" s="22"/>
      <c r="J780" s="10"/>
    </row>
    <row r="781" spans="1:10" s="20" customFormat="1" x14ac:dyDescent="0.25">
      <c r="A781" s="14"/>
      <c r="C781" s="6"/>
      <c r="F781" s="6"/>
      <c r="G781" s="6"/>
      <c r="H781" s="6"/>
      <c r="I781" s="22"/>
      <c r="J781" s="10"/>
    </row>
    <row r="782" spans="1:10" s="20" customFormat="1" x14ac:dyDescent="0.25">
      <c r="A782" s="14"/>
      <c r="C782" s="6"/>
      <c r="F782" s="6"/>
      <c r="G782" s="6"/>
      <c r="H782" s="6"/>
      <c r="I782" s="22"/>
      <c r="J782" s="10"/>
    </row>
    <row r="783" spans="1:10" s="20" customFormat="1" x14ac:dyDescent="0.25">
      <c r="A783" s="14"/>
      <c r="C783" s="6"/>
      <c r="F783" s="6"/>
      <c r="G783" s="6"/>
      <c r="H783" s="6"/>
      <c r="I783" s="22"/>
      <c r="J783" s="10"/>
    </row>
    <row r="784" spans="1:10" s="20" customFormat="1" x14ac:dyDescent="0.25">
      <c r="A784" s="14"/>
      <c r="C784" s="6"/>
      <c r="F784" s="6"/>
      <c r="G784" s="6"/>
      <c r="H784" s="6"/>
      <c r="I784" s="22"/>
      <c r="J784" s="10"/>
    </row>
    <row r="785" spans="1:10" s="20" customFormat="1" x14ac:dyDescent="0.25">
      <c r="A785" s="14"/>
      <c r="C785" s="6"/>
      <c r="F785" s="6"/>
      <c r="G785" s="6"/>
      <c r="H785" s="6"/>
      <c r="I785" s="22"/>
      <c r="J785" s="10"/>
    </row>
    <row r="786" spans="1:10" s="20" customFormat="1" x14ac:dyDescent="0.25">
      <c r="A786" s="14"/>
      <c r="C786" s="6"/>
      <c r="F786" s="6"/>
      <c r="G786" s="6"/>
      <c r="H786" s="6"/>
      <c r="I786" s="22"/>
      <c r="J786" s="10"/>
    </row>
    <row r="787" spans="1:10" s="20" customFormat="1" x14ac:dyDescent="0.25">
      <c r="A787" s="14"/>
      <c r="C787" s="6"/>
      <c r="F787" s="6"/>
      <c r="G787" s="6"/>
      <c r="H787" s="6"/>
      <c r="I787" s="22"/>
      <c r="J787" s="10"/>
    </row>
    <row r="788" spans="1:10" s="20" customFormat="1" x14ac:dyDescent="0.25">
      <c r="A788" s="14"/>
      <c r="C788" s="6"/>
      <c r="F788" s="6"/>
      <c r="G788" s="6"/>
      <c r="H788" s="6"/>
      <c r="I788" s="22"/>
      <c r="J788" s="10"/>
    </row>
    <row r="789" spans="1:10" s="20" customFormat="1" x14ac:dyDescent="0.25">
      <c r="A789" s="14"/>
      <c r="C789" s="6"/>
      <c r="F789" s="6"/>
      <c r="G789" s="6"/>
      <c r="H789" s="6"/>
      <c r="I789" s="22"/>
      <c r="J789" s="10"/>
    </row>
    <row r="790" spans="1:10" s="20" customFormat="1" x14ac:dyDescent="0.25">
      <c r="A790" s="14"/>
      <c r="C790" s="6"/>
      <c r="F790" s="6"/>
      <c r="G790" s="6"/>
      <c r="H790" s="6"/>
      <c r="I790" s="22"/>
      <c r="J790" s="10"/>
    </row>
    <row r="791" spans="1:10" s="20" customFormat="1" x14ac:dyDescent="0.25">
      <c r="A791" s="14"/>
      <c r="C791" s="6"/>
      <c r="F791" s="6"/>
      <c r="G791" s="6"/>
      <c r="H791" s="6"/>
      <c r="I791" s="22"/>
      <c r="J791" s="10"/>
    </row>
    <row r="792" spans="1:10" s="20" customFormat="1" x14ac:dyDescent="0.25">
      <c r="A792" s="14"/>
      <c r="C792" s="6"/>
      <c r="F792" s="6"/>
      <c r="G792" s="6"/>
      <c r="H792" s="6"/>
      <c r="I792" s="22"/>
      <c r="J792" s="10"/>
    </row>
    <row r="793" spans="1:10" s="20" customFormat="1" x14ac:dyDescent="0.25">
      <c r="A793" s="14"/>
      <c r="C793" s="6"/>
      <c r="F793" s="6"/>
      <c r="G793" s="6"/>
      <c r="H793" s="6"/>
      <c r="I793" s="22"/>
      <c r="J793" s="10"/>
    </row>
    <row r="794" spans="1:10" s="20" customFormat="1" x14ac:dyDescent="0.25">
      <c r="A794" s="14"/>
      <c r="C794" s="6"/>
      <c r="F794" s="6"/>
      <c r="G794" s="6"/>
      <c r="H794" s="6"/>
      <c r="I794" s="22"/>
      <c r="J794" s="10"/>
    </row>
    <row r="795" spans="1:10" x14ac:dyDescent="0.25">
      <c r="I795" s="22"/>
    </row>
    <row r="796" spans="1:10" x14ac:dyDescent="0.25">
      <c r="I796" s="22"/>
    </row>
    <row r="797" spans="1:10" x14ac:dyDescent="0.25">
      <c r="I797" s="22"/>
    </row>
    <row r="798" spans="1:10" x14ac:dyDescent="0.25">
      <c r="I798" s="22"/>
    </row>
    <row r="799" spans="1:10" x14ac:dyDescent="0.25">
      <c r="I799" s="22"/>
    </row>
    <row r="800" spans="1:10" x14ac:dyDescent="0.25">
      <c r="I800" s="22"/>
    </row>
    <row r="801" spans="9:9" x14ac:dyDescent="0.25">
      <c r="I801" s="22"/>
    </row>
    <row r="802" spans="9:9" x14ac:dyDescent="0.25">
      <c r="I802" s="22"/>
    </row>
    <row r="803" spans="9:9" x14ac:dyDescent="0.25">
      <c r="I803" s="22"/>
    </row>
    <row r="804" spans="9:9" x14ac:dyDescent="0.25">
      <c r="I804" s="22"/>
    </row>
    <row r="805" spans="9:9" x14ac:dyDescent="0.25">
      <c r="I805" s="22"/>
    </row>
    <row r="806" spans="9:9" x14ac:dyDescent="0.25">
      <c r="I806" s="22"/>
    </row>
    <row r="807" spans="9:9" x14ac:dyDescent="0.25">
      <c r="I807" s="22"/>
    </row>
    <row r="808" spans="9:9" x14ac:dyDescent="0.25">
      <c r="I808" s="22"/>
    </row>
    <row r="809" spans="9:9" x14ac:dyDescent="0.25">
      <c r="I809" s="22"/>
    </row>
    <row r="810" spans="9:9" x14ac:dyDescent="0.25">
      <c r="I810" s="22"/>
    </row>
    <row r="811" spans="9:9" x14ac:dyDescent="0.25">
      <c r="I811" s="22"/>
    </row>
    <row r="812" spans="9:9" x14ac:dyDescent="0.25">
      <c r="I812" s="22"/>
    </row>
    <row r="813" spans="9:9" x14ac:dyDescent="0.25">
      <c r="I813" s="22"/>
    </row>
    <row r="814" spans="9:9" x14ac:dyDescent="0.25">
      <c r="I814" s="22"/>
    </row>
    <row r="815" spans="9:9" x14ac:dyDescent="0.25">
      <c r="I815" s="22"/>
    </row>
    <row r="816" spans="9:9" x14ac:dyDescent="0.25">
      <c r="I816" s="22"/>
    </row>
    <row r="817" spans="9:9" x14ac:dyDescent="0.25">
      <c r="I817" s="22"/>
    </row>
    <row r="818" spans="9:9" x14ac:dyDescent="0.25">
      <c r="I818" s="22"/>
    </row>
    <row r="819" spans="9:9" x14ac:dyDescent="0.25">
      <c r="I819" s="22"/>
    </row>
    <row r="820" spans="9:9" x14ac:dyDescent="0.25">
      <c r="I820" s="22"/>
    </row>
    <row r="821" spans="9:9" x14ac:dyDescent="0.25">
      <c r="I821" s="22"/>
    </row>
    <row r="822" spans="9:9" x14ac:dyDescent="0.25">
      <c r="I822" s="22"/>
    </row>
    <row r="823" spans="9:9" x14ac:dyDescent="0.25">
      <c r="I823" s="22"/>
    </row>
    <row r="824" spans="9:9" x14ac:dyDescent="0.25">
      <c r="I824" s="22"/>
    </row>
    <row r="825" spans="9:9" x14ac:dyDescent="0.25">
      <c r="I825" s="22"/>
    </row>
    <row r="826" spans="9:9" x14ac:dyDescent="0.25">
      <c r="I826" s="22"/>
    </row>
    <row r="827" spans="9:9" x14ac:dyDescent="0.25">
      <c r="I827" s="22"/>
    </row>
    <row r="828" spans="9:9" x14ac:dyDescent="0.25">
      <c r="I828" s="22"/>
    </row>
    <row r="829" spans="9:9" x14ac:dyDescent="0.25">
      <c r="I829" s="22"/>
    </row>
    <row r="830" spans="9:9" x14ac:dyDescent="0.25">
      <c r="I830" s="22"/>
    </row>
    <row r="831" spans="9:9" x14ac:dyDescent="0.25">
      <c r="I831" s="22"/>
    </row>
    <row r="832" spans="9:9" x14ac:dyDescent="0.25">
      <c r="I832" s="22"/>
    </row>
    <row r="833" spans="9:9" x14ac:dyDescent="0.25">
      <c r="I833" s="22"/>
    </row>
    <row r="834" spans="9:9" x14ac:dyDescent="0.25">
      <c r="I834" s="22"/>
    </row>
    <row r="835" spans="9:9" x14ac:dyDescent="0.25">
      <c r="I835" s="22"/>
    </row>
    <row r="836" spans="9:9" x14ac:dyDescent="0.25">
      <c r="I836" s="22"/>
    </row>
    <row r="837" spans="9:9" x14ac:dyDescent="0.25">
      <c r="I837" s="22"/>
    </row>
    <row r="838" spans="9:9" x14ac:dyDescent="0.25">
      <c r="I838" s="22"/>
    </row>
    <row r="839" spans="9:9" x14ac:dyDescent="0.25">
      <c r="I839" s="22"/>
    </row>
    <row r="840" spans="9:9" x14ac:dyDescent="0.25">
      <c r="I840" s="22"/>
    </row>
    <row r="841" spans="9:9" x14ac:dyDescent="0.25">
      <c r="I841" s="22"/>
    </row>
    <row r="842" spans="9:9" x14ac:dyDescent="0.25">
      <c r="I842" s="22"/>
    </row>
    <row r="843" spans="9:9" x14ac:dyDescent="0.25">
      <c r="I843" s="22"/>
    </row>
    <row r="844" spans="9:9" x14ac:dyDescent="0.25">
      <c r="I844" s="22"/>
    </row>
    <row r="845" spans="9:9" x14ac:dyDescent="0.25">
      <c r="I845" s="22"/>
    </row>
    <row r="846" spans="9:9" x14ac:dyDescent="0.25">
      <c r="I846" s="22"/>
    </row>
    <row r="847" spans="9:9" x14ac:dyDescent="0.25">
      <c r="I847" s="22"/>
    </row>
    <row r="848" spans="9:9" x14ac:dyDescent="0.25">
      <c r="I848" s="22"/>
    </row>
    <row r="849" spans="9:9" x14ac:dyDescent="0.25">
      <c r="I849" s="22"/>
    </row>
    <row r="850" spans="9:9" x14ac:dyDescent="0.25">
      <c r="I850" s="22"/>
    </row>
    <row r="851" spans="9:9" x14ac:dyDescent="0.25">
      <c r="I851" s="22"/>
    </row>
    <row r="852" spans="9:9" x14ac:dyDescent="0.25">
      <c r="I852" s="22"/>
    </row>
    <row r="853" spans="9:9" x14ac:dyDescent="0.25">
      <c r="I853" s="22"/>
    </row>
    <row r="854" spans="9:9" x14ac:dyDescent="0.25">
      <c r="I854" s="22"/>
    </row>
    <row r="855" spans="9:9" x14ac:dyDescent="0.25">
      <c r="I855" s="22"/>
    </row>
    <row r="856" spans="9:9" x14ac:dyDescent="0.25">
      <c r="I856" s="22"/>
    </row>
    <row r="857" spans="9:9" x14ac:dyDescent="0.25">
      <c r="I857" s="22"/>
    </row>
    <row r="858" spans="9:9" x14ac:dyDescent="0.25">
      <c r="I858" s="22"/>
    </row>
    <row r="859" spans="9:9" x14ac:dyDescent="0.25">
      <c r="I859" s="22"/>
    </row>
    <row r="860" spans="9:9" x14ac:dyDescent="0.25">
      <c r="I860" s="22"/>
    </row>
    <row r="861" spans="9:9" x14ac:dyDescent="0.25">
      <c r="I861" s="22"/>
    </row>
    <row r="862" spans="9:9" x14ac:dyDescent="0.25">
      <c r="I862" s="22"/>
    </row>
    <row r="863" spans="9:9" x14ac:dyDescent="0.25">
      <c r="I863" s="22"/>
    </row>
    <row r="864" spans="9:9" x14ac:dyDescent="0.25">
      <c r="I864" s="22"/>
    </row>
    <row r="865" spans="9:9" x14ac:dyDescent="0.25">
      <c r="I865" s="22"/>
    </row>
    <row r="866" spans="9:9" x14ac:dyDescent="0.25">
      <c r="I866" s="22"/>
    </row>
    <row r="867" spans="9:9" x14ac:dyDescent="0.25">
      <c r="I867" s="22"/>
    </row>
    <row r="868" spans="9:9" x14ac:dyDescent="0.25">
      <c r="I868" s="22"/>
    </row>
    <row r="869" spans="9:9" x14ac:dyDescent="0.25">
      <c r="I869" s="22"/>
    </row>
    <row r="870" spans="9:9" x14ac:dyDescent="0.25">
      <c r="I870" s="22"/>
    </row>
    <row r="871" spans="9:9" x14ac:dyDescent="0.25">
      <c r="I871" s="22"/>
    </row>
    <row r="872" spans="9:9" x14ac:dyDescent="0.25">
      <c r="I872" s="22"/>
    </row>
    <row r="873" spans="9:9" x14ac:dyDescent="0.25">
      <c r="I873" s="22"/>
    </row>
    <row r="874" spans="9:9" x14ac:dyDescent="0.25">
      <c r="I874" s="22"/>
    </row>
    <row r="875" spans="9:9" x14ac:dyDescent="0.25">
      <c r="I875" s="22"/>
    </row>
    <row r="876" spans="9:9" x14ac:dyDescent="0.25">
      <c r="I876" s="22"/>
    </row>
    <row r="877" spans="9:9" x14ac:dyDescent="0.25">
      <c r="I877" s="22"/>
    </row>
    <row r="878" spans="9:9" x14ac:dyDescent="0.25">
      <c r="I878" s="22"/>
    </row>
    <row r="879" spans="9:9" x14ac:dyDescent="0.25">
      <c r="I879" s="22"/>
    </row>
    <row r="880" spans="9:9" x14ac:dyDescent="0.25">
      <c r="I880" s="22"/>
    </row>
    <row r="881" spans="9:9" x14ac:dyDescent="0.25">
      <c r="I881" s="22"/>
    </row>
    <row r="882" spans="9:9" x14ac:dyDescent="0.25">
      <c r="I882" s="22"/>
    </row>
    <row r="883" spans="9:9" x14ac:dyDescent="0.25">
      <c r="I883" s="22"/>
    </row>
    <row r="884" spans="9:9" x14ac:dyDescent="0.25">
      <c r="I884" s="22"/>
    </row>
    <row r="885" spans="9:9" x14ac:dyDescent="0.25">
      <c r="I885" s="22"/>
    </row>
    <row r="886" spans="9:9" x14ac:dyDescent="0.25">
      <c r="I886" s="22"/>
    </row>
    <row r="887" spans="9:9" x14ac:dyDescent="0.25">
      <c r="I887" s="22"/>
    </row>
    <row r="888" spans="9:9" x14ac:dyDescent="0.25">
      <c r="I888" s="22"/>
    </row>
    <row r="889" spans="9:9" x14ac:dyDescent="0.25">
      <c r="I889" s="22"/>
    </row>
    <row r="890" spans="9:9" x14ac:dyDescent="0.25">
      <c r="I890" s="22"/>
    </row>
    <row r="891" spans="9:9" x14ac:dyDescent="0.25">
      <c r="I891" s="22"/>
    </row>
    <row r="892" spans="9:9" x14ac:dyDescent="0.25">
      <c r="I892" s="22"/>
    </row>
    <row r="893" spans="9:9" x14ac:dyDescent="0.25">
      <c r="I893" s="22"/>
    </row>
    <row r="894" spans="9:9" x14ac:dyDescent="0.25">
      <c r="I894" s="22"/>
    </row>
    <row r="895" spans="9:9" x14ac:dyDescent="0.25">
      <c r="I895" s="22"/>
    </row>
    <row r="896" spans="9:9" x14ac:dyDescent="0.25">
      <c r="I896" s="22"/>
    </row>
    <row r="897" spans="9:9" x14ac:dyDescent="0.25">
      <c r="I897" s="22"/>
    </row>
    <row r="898" spans="9:9" x14ac:dyDescent="0.25">
      <c r="I898" s="22"/>
    </row>
    <row r="899" spans="9:9" x14ac:dyDescent="0.25">
      <c r="I899" s="22"/>
    </row>
    <row r="900" spans="9:9" x14ac:dyDescent="0.25">
      <c r="I900" s="22"/>
    </row>
    <row r="901" spans="9:9" x14ac:dyDescent="0.25">
      <c r="I901" s="22"/>
    </row>
    <row r="902" spans="9:9" x14ac:dyDescent="0.25">
      <c r="I902" s="22"/>
    </row>
    <row r="903" spans="9:9" x14ac:dyDescent="0.25">
      <c r="I903" s="22"/>
    </row>
    <row r="904" spans="9:9" x14ac:dyDescent="0.25">
      <c r="I904" s="22"/>
    </row>
    <row r="905" spans="9:9" x14ac:dyDescent="0.25">
      <c r="I905" s="22"/>
    </row>
    <row r="906" spans="9:9" x14ac:dyDescent="0.25">
      <c r="I906" s="22"/>
    </row>
    <row r="907" spans="9:9" x14ac:dyDescent="0.25">
      <c r="I907" s="22"/>
    </row>
    <row r="908" spans="9:9" x14ac:dyDescent="0.25">
      <c r="I908" s="22"/>
    </row>
    <row r="909" spans="9:9" x14ac:dyDescent="0.25">
      <c r="I909" s="22"/>
    </row>
    <row r="910" spans="9:9" x14ac:dyDescent="0.25">
      <c r="I910" s="22"/>
    </row>
    <row r="911" spans="9:9" x14ac:dyDescent="0.25">
      <c r="I911" s="22"/>
    </row>
    <row r="912" spans="9:9" x14ac:dyDescent="0.25">
      <c r="I912" s="22"/>
    </row>
    <row r="913" spans="9:9" x14ac:dyDescent="0.25">
      <c r="I913" s="22"/>
    </row>
    <row r="914" spans="9:9" x14ac:dyDescent="0.25">
      <c r="I914" s="22"/>
    </row>
    <row r="915" spans="9:9" x14ac:dyDescent="0.25">
      <c r="I915" s="22"/>
    </row>
    <row r="916" spans="9:9" x14ac:dyDescent="0.25">
      <c r="I916" s="22"/>
    </row>
    <row r="917" spans="9:9" x14ac:dyDescent="0.25">
      <c r="I917" s="22"/>
    </row>
    <row r="918" spans="9:9" x14ac:dyDescent="0.25">
      <c r="I918" s="22"/>
    </row>
    <row r="919" spans="9:9" x14ac:dyDescent="0.25">
      <c r="I919" s="22"/>
    </row>
    <row r="920" spans="9:9" x14ac:dyDescent="0.25">
      <c r="I920" s="22"/>
    </row>
    <row r="921" spans="9:9" x14ac:dyDescent="0.25">
      <c r="I921" s="22"/>
    </row>
    <row r="922" spans="9:9" x14ac:dyDescent="0.25">
      <c r="I922" s="22"/>
    </row>
    <row r="923" spans="9:9" x14ac:dyDescent="0.25">
      <c r="I923" s="22"/>
    </row>
    <row r="924" spans="9:9" x14ac:dyDescent="0.25">
      <c r="I924" s="22"/>
    </row>
    <row r="925" spans="9:9" x14ac:dyDescent="0.25">
      <c r="I925" s="22"/>
    </row>
    <row r="926" spans="9:9" x14ac:dyDescent="0.25">
      <c r="I926" s="22"/>
    </row>
    <row r="927" spans="9:9" x14ac:dyDescent="0.25">
      <c r="I927" s="22"/>
    </row>
    <row r="928" spans="9:9" x14ac:dyDescent="0.25">
      <c r="I928" s="22"/>
    </row>
    <row r="929" spans="9:9" x14ac:dyDescent="0.25">
      <c r="I929" s="22"/>
    </row>
    <row r="930" spans="9:9" x14ac:dyDescent="0.25">
      <c r="I930" s="22"/>
    </row>
    <row r="931" spans="9:9" x14ac:dyDescent="0.25">
      <c r="I931" s="22"/>
    </row>
    <row r="932" spans="9:9" x14ac:dyDescent="0.25">
      <c r="I932" s="22"/>
    </row>
    <row r="933" spans="9:9" x14ac:dyDescent="0.25">
      <c r="I933" s="22"/>
    </row>
    <row r="934" spans="9:9" x14ac:dyDescent="0.25">
      <c r="I934" s="22"/>
    </row>
    <row r="935" spans="9:9" x14ac:dyDescent="0.25">
      <c r="I935" s="22"/>
    </row>
    <row r="936" spans="9:9" x14ac:dyDescent="0.25">
      <c r="I936" s="22"/>
    </row>
    <row r="937" spans="9:9" x14ac:dyDescent="0.25">
      <c r="I937" s="22"/>
    </row>
    <row r="938" spans="9:9" x14ac:dyDescent="0.25">
      <c r="I938" s="22"/>
    </row>
    <row r="939" spans="9:9" x14ac:dyDescent="0.25">
      <c r="I939" s="22"/>
    </row>
    <row r="940" spans="9:9" x14ac:dyDescent="0.25">
      <c r="I940" s="22"/>
    </row>
    <row r="941" spans="9:9" x14ac:dyDescent="0.25">
      <c r="I941" s="22"/>
    </row>
    <row r="942" spans="9:9" x14ac:dyDescent="0.25">
      <c r="I942" s="22"/>
    </row>
    <row r="943" spans="9:9" x14ac:dyDescent="0.25">
      <c r="I943" s="22"/>
    </row>
    <row r="944" spans="9:9" x14ac:dyDescent="0.25">
      <c r="I944" s="22"/>
    </row>
    <row r="945" spans="9:9" x14ac:dyDescent="0.25">
      <c r="I945" s="22"/>
    </row>
    <row r="946" spans="9:9" x14ac:dyDescent="0.25">
      <c r="I946" s="22"/>
    </row>
    <row r="947" spans="9:9" x14ac:dyDescent="0.25">
      <c r="I947" s="22"/>
    </row>
    <row r="948" spans="9:9" x14ac:dyDescent="0.25">
      <c r="I948" s="22"/>
    </row>
    <row r="949" spans="9:9" x14ac:dyDescent="0.25">
      <c r="I949" s="22"/>
    </row>
    <row r="950" spans="9:9" x14ac:dyDescent="0.25">
      <c r="I950" s="22"/>
    </row>
    <row r="951" spans="9:9" x14ac:dyDescent="0.25">
      <c r="I951" s="22"/>
    </row>
    <row r="952" spans="9:9" x14ac:dyDescent="0.25">
      <c r="I952" s="22"/>
    </row>
    <row r="953" spans="9:9" x14ac:dyDescent="0.25">
      <c r="I953" s="22"/>
    </row>
    <row r="954" spans="9:9" x14ac:dyDescent="0.25">
      <c r="I954" s="22"/>
    </row>
    <row r="955" spans="9:9" x14ac:dyDescent="0.25">
      <c r="I955" s="22"/>
    </row>
    <row r="956" spans="9:9" x14ac:dyDescent="0.25">
      <c r="I956" s="22"/>
    </row>
    <row r="957" spans="9:9" x14ac:dyDescent="0.25">
      <c r="I957" s="22"/>
    </row>
    <row r="958" spans="9:9" x14ac:dyDescent="0.25">
      <c r="I958" s="22"/>
    </row>
    <row r="959" spans="9:9" x14ac:dyDescent="0.25">
      <c r="I959" s="22"/>
    </row>
    <row r="960" spans="9:9" x14ac:dyDescent="0.25">
      <c r="I960" s="22"/>
    </row>
    <row r="961" spans="9:9" x14ac:dyDescent="0.25">
      <c r="I961" s="22"/>
    </row>
    <row r="962" spans="9:9" x14ac:dyDescent="0.25">
      <c r="I962" s="22"/>
    </row>
    <row r="963" spans="9:9" x14ac:dyDescent="0.25">
      <c r="I963" s="22"/>
    </row>
    <row r="964" spans="9:9" x14ac:dyDescent="0.25">
      <c r="I964" s="22"/>
    </row>
    <row r="965" spans="9:9" x14ac:dyDescent="0.25">
      <c r="I965" s="22"/>
    </row>
    <row r="966" spans="9:9" x14ac:dyDescent="0.25">
      <c r="I966" s="22"/>
    </row>
    <row r="967" spans="9:9" x14ac:dyDescent="0.25">
      <c r="I967" s="22"/>
    </row>
    <row r="968" spans="9:9" x14ac:dyDescent="0.25">
      <c r="I968" s="22"/>
    </row>
    <row r="969" spans="9:9" x14ac:dyDescent="0.25">
      <c r="I969" s="22"/>
    </row>
    <row r="970" spans="9:9" x14ac:dyDescent="0.25">
      <c r="I970" s="22"/>
    </row>
    <row r="971" spans="9:9" x14ac:dyDescent="0.25">
      <c r="I971" s="22"/>
    </row>
    <row r="972" spans="9:9" x14ac:dyDescent="0.25">
      <c r="I972" s="22"/>
    </row>
    <row r="973" spans="9:9" x14ac:dyDescent="0.25">
      <c r="I973" s="22"/>
    </row>
    <row r="974" spans="9:9" x14ac:dyDescent="0.25">
      <c r="I974" s="22"/>
    </row>
    <row r="975" spans="9:9" x14ac:dyDescent="0.25">
      <c r="I975" s="22"/>
    </row>
    <row r="976" spans="9:9" x14ac:dyDescent="0.25">
      <c r="I976" s="22"/>
    </row>
    <row r="977" spans="9:9" x14ac:dyDescent="0.25">
      <c r="I977" s="22"/>
    </row>
    <row r="978" spans="9:9" x14ac:dyDescent="0.25">
      <c r="I978" s="22"/>
    </row>
    <row r="979" spans="9:9" x14ac:dyDescent="0.25">
      <c r="I979" s="22"/>
    </row>
    <row r="980" spans="9:9" x14ac:dyDescent="0.25">
      <c r="I980" s="22"/>
    </row>
    <row r="981" spans="9:9" x14ac:dyDescent="0.25">
      <c r="I981" s="22"/>
    </row>
    <row r="982" spans="9:9" x14ac:dyDescent="0.25">
      <c r="I982" s="22"/>
    </row>
    <row r="983" spans="9:9" x14ac:dyDescent="0.25">
      <c r="I983" s="22"/>
    </row>
    <row r="984" spans="9:9" x14ac:dyDescent="0.25">
      <c r="I984" s="22"/>
    </row>
    <row r="985" spans="9:9" x14ac:dyDescent="0.25">
      <c r="I985" s="22"/>
    </row>
    <row r="986" spans="9:9" x14ac:dyDescent="0.25">
      <c r="I986" s="22"/>
    </row>
    <row r="987" spans="9:9" x14ac:dyDescent="0.25">
      <c r="I987" s="22"/>
    </row>
    <row r="988" spans="9:9" x14ac:dyDescent="0.25">
      <c r="I988" s="22"/>
    </row>
    <row r="989" spans="9:9" x14ac:dyDescent="0.25">
      <c r="I989" s="22"/>
    </row>
    <row r="990" spans="9:9" x14ac:dyDescent="0.25">
      <c r="I990" s="22"/>
    </row>
    <row r="991" spans="9:9" x14ac:dyDescent="0.25">
      <c r="I991" s="22"/>
    </row>
    <row r="992" spans="9:9" x14ac:dyDescent="0.25">
      <c r="I992" s="22"/>
    </row>
    <row r="993" spans="9:9" x14ac:dyDescent="0.25">
      <c r="I993" s="22"/>
    </row>
    <row r="994" spans="9:9" x14ac:dyDescent="0.25">
      <c r="I994" s="22"/>
    </row>
    <row r="995" spans="9:9" x14ac:dyDescent="0.25">
      <c r="I995" s="22"/>
    </row>
    <row r="996" spans="9:9" x14ac:dyDescent="0.25">
      <c r="I996" s="22"/>
    </row>
    <row r="997" spans="9:9" x14ac:dyDescent="0.25">
      <c r="I997" s="22"/>
    </row>
    <row r="998" spans="9:9" x14ac:dyDescent="0.25">
      <c r="I998" s="22"/>
    </row>
    <row r="999" spans="9:9" x14ac:dyDescent="0.25">
      <c r="I999" s="22"/>
    </row>
    <row r="1000" spans="9:9" x14ac:dyDescent="0.25">
      <c r="I1000" s="22"/>
    </row>
    <row r="1001" spans="9:9" x14ac:dyDescent="0.25">
      <c r="I1001" s="22"/>
    </row>
    <row r="1002" spans="9:9" x14ac:dyDescent="0.25">
      <c r="I1002" s="22"/>
    </row>
    <row r="1003" spans="9:9" x14ac:dyDescent="0.25">
      <c r="I1003" s="22"/>
    </row>
    <row r="1004" spans="9:9" x14ac:dyDescent="0.25">
      <c r="I1004" s="22"/>
    </row>
    <row r="1005" spans="9:9" x14ac:dyDescent="0.25">
      <c r="I1005" s="22"/>
    </row>
    <row r="1006" spans="9:9" x14ac:dyDescent="0.25">
      <c r="I1006" s="22"/>
    </row>
    <row r="1007" spans="9:9" x14ac:dyDescent="0.25">
      <c r="I1007" s="22"/>
    </row>
    <row r="1008" spans="9:9" x14ac:dyDescent="0.25">
      <c r="I1008" s="22"/>
    </row>
    <row r="1009" spans="9:9" x14ac:dyDescent="0.25">
      <c r="I1009" s="22"/>
    </row>
    <row r="1010" spans="9:9" x14ac:dyDescent="0.25">
      <c r="I1010" s="22"/>
    </row>
    <row r="1011" spans="9:9" x14ac:dyDescent="0.25">
      <c r="I1011" s="22"/>
    </row>
    <row r="1012" spans="9:9" x14ac:dyDescent="0.25">
      <c r="I1012" s="22"/>
    </row>
    <row r="1013" spans="9:9" x14ac:dyDescent="0.25">
      <c r="I1013" s="22"/>
    </row>
    <row r="1014" spans="9:9" x14ac:dyDescent="0.25">
      <c r="I1014" s="22"/>
    </row>
    <row r="1015" spans="9:9" x14ac:dyDescent="0.25">
      <c r="I1015" s="22"/>
    </row>
    <row r="1016" spans="9:9" x14ac:dyDescent="0.25">
      <c r="I1016" s="22"/>
    </row>
    <row r="1017" spans="9:9" x14ac:dyDescent="0.25">
      <c r="I1017" s="22"/>
    </row>
    <row r="1018" spans="9:9" x14ac:dyDescent="0.25">
      <c r="I1018" s="22"/>
    </row>
    <row r="1019" spans="9:9" x14ac:dyDescent="0.25">
      <c r="I1019" s="22"/>
    </row>
    <row r="1020" spans="9:9" x14ac:dyDescent="0.25">
      <c r="I1020" s="22"/>
    </row>
    <row r="1021" spans="9:9" x14ac:dyDescent="0.25">
      <c r="I1021" s="22"/>
    </row>
    <row r="1022" spans="9:9" x14ac:dyDescent="0.25">
      <c r="I1022" s="22"/>
    </row>
    <row r="1023" spans="9:9" x14ac:dyDescent="0.25">
      <c r="I1023" s="22"/>
    </row>
    <row r="1024" spans="9:9" x14ac:dyDescent="0.25">
      <c r="I1024" s="22"/>
    </row>
    <row r="1025" spans="9:9" x14ac:dyDescent="0.25">
      <c r="I1025" s="22"/>
    </row>
    <row r="1026" spans="9:9" x14ac:dyDescent="0.25">
      <c r="I1026" s="22"/>
    </row>
    <row r="1027" spans="9:9" x14ac:dyDescent="0.25">
      <c r="I1027" s="22"/>
    </row>
    <row r="1028" spans="9:9" x14ac:dyDescent="0.25">
      <c r="I1028" s="22"/>
    </row>
    <row r="1029" spans="9:9" x14ac:dyDescent="0.25">
      <c r="I1029" s="22"/>
    </row>
    <row r="1030" spans="9:9" x14ac:dyDescent="0.25">
      <c r="I1030" s="22"/>
    </row>
    <row r="1031" spans="9:9" x14ac:dyDescent="0.25">
      <c r="I1031" s="22"/>
    </row>
    <row r="1032" spans="9:9" x14ac:dyDescent="0.25">
      <c r="I1032" s="22"/>
    </row>
    <row r="1033" spans="9:9" x14ac:dyDescent="0.25">
      <c r="I1033" s="22"/>
    </row>
    <row r="1034" spans="9:9" x14ac:dyDescent="0.25">
      <c r="I1034" s="22"/>
    </row>
    <row r="1035" spans="9:9" x14ac:dyDescent="0.25">
      <c r="I1035" s="22"/>
    </row>
    <row r="1036" spans="9:9" x14ac:dyDescent="0.25">
      <c r="I1036" s="22"/>
    </row>
    <row r="1037" spans="9:9" x14ac:dyDescent="0.25">
      <c r="I1037" s="22"/>
    </row>
    <row r="1038" spans="9:9" x14ac:dyDescent="0.25">
      <c r="I1038" s="22"/>
    </row>
    <row r="1039" spans="9:9" x14ac:dyDescent="0.25">
      <c r="I1039" s="22"/>
    </row>
    <row r="1040" spans="9:9" x14ac:dyDescent="0.25">
      <c r="I1040" s="22"/>
    </row>
    <row r="1041" spans="9:9" x14ac:dyDescent="0.25">
      <c r="I1041" s="22"/>
    </row>
    <row r="1042" spans="9:9" x14ac:dyDescent="0.25">
      <c r="I1042" s="22"/>
    </row>
    <row r="1043" spans="9:9" x14ac:dyDescent="0.25">
      <c r="I1043" s="22"/>
    </row>
    <row r="1044" spans="9:9" x14ac:dyDescent="0.25">
      <c r="I1044" s="22"/>
    </row>
    <row r="1045" spans="9:9" x14ac:dyDescent="0.25">
      <c r="I1045" s="22"/>
    </row>
    <row r="1046" spans="9:9" x14ac:dyDescent="0.25">
      <c r="I1046" s="22"/>
    </row>
    <row r="1047" spans="9:9" x14ac:dyDescent="0.25">
      <c r="I1047" s="22"/>
    </row>
    <row r="1048" spans="9:9" x14ac:dyDescent="0.25">
      <c r="I1048" s="22"/>
    </row>
    <row r="1049" spans="9:9" x14ac:dyDescent="0.25">
      <c r="I1049" s="22"/>
    </row>
    <row r="1050" spans="9:9" x14ac:dyDescent="0.25">
      <c r="I1050" s="22"/>
    </row>
    <row r="1051" spans="9:9" x14ac:dyDescent="0.25">
      <c r="I1051" s="22"/>
    </row>
    <row r="1052" spans="9:9" x14ac:dyDescent="0.25">
      <c r="I1052" s="22"/>
    </row>
    <row r="1053" spans="9:9" x14ac:dyDescent="0.25">
      <c r="I1053" s="22"/>
    </row>
    <row r="1054" spans="9:9" x14ac:dyDescent="0.25">
      <c r="I1054" s="22"/>
    </row>
    <row r="1055" spans="9:9" x14ac:dyDescent="0.25">
      <c r="I1055" s="22"/>
    </row>
    <row r="1056" spans="9:9" x14ac:dyDescent="0.25">
      <c r="I1056" s="22"/>
    </row>
    <row r="1057" spans="9:9" x14ac:dyDescent="0.25">
      <c r="I1057" s="22"/>
    </row>
    <row r="1058" spans="9:9" x14ac:dyDescent="0.25">
      <c r="I1058" s="22"/>
    </row>
    <row r="1059" spans="9:9" x14ac:dyDescent="0.25">
      <c r="I1059" s="22"/>
    </row>
    <row r="1060" spans="9:9" x14ac:dyDescent="0.25">
      <c r="I1060" s="22"/>
    </row>
    <row r="1061" spans="9:9" x14ac:dyDescent="0.25">
      <c r="I1061" s="22"/>
    </row>
    <row r="1062" spans="9:9" x14ac:dyDescent="0.25">
      <c r="I1062" s="22"/>
    </row>
    <row r="1063" spans="9:9" x14ac:dyDescent="0.25">
      <c r="I1063" s="22"/>
    </row>
    <row r="1064" spans="9:9" x14ac:dyDescent="0.25">
      <c r="I1064" s="22"/>
    </row>
    <row r="1065" spans="9:9" x14ac:dyDescent="0.25">
      <c r="I1065" s="22"/>
    </row>
    <row r="1066" spans="9:9" x14ac:dyDescent="0.25">
      <c r="I1066" s="22"/>
    </row>
    <row r="1067" spans="9:9" x14ac:dyDescent="0.25">
      <c r="I1067" s="22"/>
    </row>
    <row r="1068" spans="9:9" x14ac:dyDescent="0.25">
      <c r="I1068" s="22"/>
    </row>
    <row r="1069" spans="9:9" x14ac:dyDescent="0.25">
      <c r="I1069" s="22"/>
    </row>
    <row r="1070" spans="9:9" x14ac:dyDescent="0.25">
      <c r="I1070" s="22"/>
    </row>
    <row r="1071" spans="9:9" x14ac:dyDescent="0.25">
      <c r="I1071" s="22"/>
    </row>
    <row r="1072" spans="9:9" x14ac:dyDescent="0.25">
      <c r="I1072" s="22"/>
    </row>
    <row r="1073" spans="9:9" x14ac:dyDescent="0.25">
      <c r="I1073" s="22"/>
    </row>
    <row r="1074" spans="9:9" x14ac:dyDescent="0.25">
      <c r="I1074" s="22"/>
    </row>
    <row r="1075" spans="9:9" x14ac:dyDescent="0.25">
      <c r="I1075" s="22"/>
    </row>
    <row r="1076" spans="9:9" x14ac:dyDescent="0.25">
      <c r="I1076" s="22"/>
    </row>
    <row r="1077" spans="9:9" x14ac:dyDescent="0.25">
      <c r="I1077" s="22"/>
    </row>
    <row r="1078" spans="9:9" x14ac:dyDescent="0.25">
      <c r="I1078" s="22"/>
    </row>
    <row r="1079" spans="9:9" x14ac:dyDescent="0.25">
      <c r="I1079" s="22"/>
    </row>
    <row r="1080" spans="9:9" x14ac:dyDescent="0.25">
      <c r="I1080" s="22"/>
    </row>
    <row r="1081" spans="9:9" x14ac:dyDescent="0.25">
      <c r="I1081" s="22"/>
    </row>
    <row r="1082" spans="9:9" x14ac:dyDescent="0.25">
      <c r="I1082" s="22"/>
    </row>
    <row r="1083" spans="9:9" x14ac:dyDescent="0.25">
      <c r="I1083" s="22"/>
    </row>
    <row r="1084" spans="9:9" x14ac:dyDescent="0.25">
      <c r="I1084" s="22"/>
    </row>
    <row r="1085" spans="9:9" x14ac:dyDescent="0.25">
      <c r="I1085" s="22"/>
    </row>
    <row r="1086" spans="9:9" x14ac:dyDescent="0.25">
      <c r="I1086" s="22"/>
    </row>
    <row r="1087" spans="9:9" x14ac:dyDescent="0.25">
      <c r="I1087" s="22"/>
    </row>
    <row r="1088" spans="9:9" x14ac:dyDescent="0.25">
      <c r="I1088" s="22"/>
    </row>
    <row r="1089" spans="9:9" x14ac:dyDescent="0.25">
      <c r="I1089" s="22"/>
    </row>
    <row r="1090" spans="9:9" x14ac:dyDescent="0.25">
      <c r="I1090" s="22"/>
    </row>
    <row r="1091" spans="9:9" x14ac:dyDescent="0.25">
      <c r="I1091" s="22"/>
    </row>
    <row r="1092" spans="9:9" x14ac:dyDescent="0.25">
      <c r="I1092" s="22"/>
    </row>
    <row r="1093" spans="9:9" x14ac:dyDescent="0.25">
      <c r="I1093" s="22"/>
    </row>
    <row r="1094" spans="9:9" x14ac:dyDescent="0.25">
      <c r="I1094" s="22"/>
    </row>
    <row r="1095" spans="9:9" x14ac:dyDescent="0.25">
      <c r="I1095" s="22"/>
    </row>
    <row r="1096" spans="9:9" x14ac:dyDescent="0.25">
      <c r="I1096" s="22"/>
    </row>
    <row r="1097" spans="9:9" x14ac:dyDescent="0.25">
      <c r="I1097" s="22"/>
    </row>
    <row r="1098" spans="9:9" x14ac:dyDescent="0.25">
      <c r="I1098" s="22"/>
    </row>
    <row r="1099" spans="9:9" x14ac:dyDescent="0.25">
      <c r="I1099" s="22"/>
    </row>
    <row r="1100" spans="9:9" x14ac:dyDescent="0.25">
      <c r="I1100" s="22"/>
    </row>
    <row r="1101" spans="9:9" x14ac:dyDescent="0.25">
      <c r="I1101" s="22"/>
    </row>
    <row r="1102" spans="9:9" x14ac:dyDescent="0.25">
      <c r="I1102" s="22"/>
    </row>
    <row r="1103" spans="9:9" x14ac:dyDescent="0.25">
      <c r="I1103" s="22"/>
    </row>
    <row r="1104" spans="9:9" x14ac:dyDescent="0.25">
      <c r="I1104" s="22"/>
    </row>
    <row r="1105" spans="9:9" x14ac:dyDescent="0.25">
      <c r="I1105" s="22"/>
    </row>
    <row r="1106" spans="9:9" x14ac:dyDescent="0.25">
      <c r="I1106" s="22"/>
    </row>
    <row r="1107" spans="9:9" x14ac:dyDescent="0.25">
      <c r="I1107" s="22"/>
    </row>
    <row r="1108" spans="9:9" x14ac:dyDescent="0.25">
      <c r="I1108" s="22"/>
    </row>
    <row r="1109" spans="9:9" x14ac:dyDescent="0.25">
      <c r="I1109" s="22"/>
    </row>
    <row r="1110" spans="9:9" x14ac:dyDescent="0.25">
      <c r="I1110" s="22"/>
    </row>
    <row r="1111" spans="9:9" x14ac:dyDescent="0.25">
      <c r="I1111" s="22"/>
    </row>
    <row r="1112" spans="9:9" x14ac:dyDescent="0.25">
      <c r="I1112" s="22"/>
    </row>
    <row r="1113" spans="9:9" x14ac:dyDescent="0.25">
      <c r="I1113" s="22"/>
    </row>
    <row r="1114" spans="9:9" x14ac:dyDescent="0.25">
      <c r="I1114" s="22"/>
    </row>
    <row r="1115" spans="9:9" x14ac:dyDescent="0.25">
      <c r="I1115" s="22"/>
    </row>
    <row r="1116" spans="9:9" x14ac:dyDescent="0.25">
      <c r="I1116" s="22"/>
    </row>
    <row r="1117" spans="9:9" x14ac:dyDescent="0.25">
      <c r="I1117" s="22"/>
    </row>
    <row r="1118" spans="9:9" x14ac:dyDescent="0.25">
      <c r="I1118" s="22"/>
    </row>
    <row r="1119" spans="9:9" x14ac:dyDescent="0.25">
      <c r="I1119" s="22"/>
    </row>
    <row r="1120" spans="9:9" x14ac:dyDescent="0.25">
      <c r="I1120" s="22"/>
    </row>
    <row r="1121" spans="9:9" x14ac:dyDescent="0.25">
      <c r="I1121" s="22"/>
    </row>
    <row r="1122" spans="9:9" x14ac:dyDescent="0.25">
      <c r="I1122" s="22"/>
    </row>
    <row r="1123" spans="9:9" x14ac:dyDescent="0.25">
      <c r="I1123" s="22"/>
    </row>
    <row r="1124" spans="9:9" x14ac:dyDescent="0.25">
      <c r="I1124" s="22"/>
    </row>
    <row r="1125" spans="9:9" x14ac:dyDescent="0.25">
      <c r="I1125" s="22"/>
    </row>
    <row r="1126" spans="9:9" x14ac:dyDescent="0.25">
      <c r="I1126" s="22"/>
    </row>
    <row r="1127" spans="9:9" x14ac:dyDescent="0.25">
      <c r="I1127" s="22"/>
    </row>
    <row r="1128" spans="9:9" x14ac:dyDescent="0.25">
      <c r="I1128" s="22"/>
    </row>
    <row r="1129" spans="9:9" x14ac:dyDescent="0.25">
      <c r="I1129" s="22"/>
    </row>
    <row r="1130" spans="9:9" x14ac:dyDescent="0.25">
      <c r="I1130" s="22"/>
    </row>
    <row r="1131" spans="9:9" x14ac:dyDescent="0.25">
      <c r="I1131" s="22"/>
    </row>
    <row r="1132" spans="9:9" x14ac:dyDescent="0.25">
      <c r="I1132" s="22"/>
    </row>
    <row r="1133" spans="9:9" x14ac:dyDescent="0.25">
      <c r="I1133" s="22"/>
    </row>
    <row r="1134" spans="9:9" x14ac:dyDescent="0.25">
      <c r="I1134" s="22"/>
    </row>
    <row r="1135" spans="9:9" x14ac:dyDescent="0.25">
      <c r="I1135" s="22"/>
    </row>
    <row r="1136" spans="9:9" x14ac:dyDescent="0.25">
      <c r="I1136" s="22"/>
    </row>
    <row r="1137" spans="9:9" x14ac:dyDescent="0.25">
      <c r="I1137" s="22"/>
    </row>
    <row r="1138" spans="9:9" x14ac:dyDescent="0.25">
      <c r="I1138" s="22"/>
    </row>
    <row r="1139" spans="9:9" x14ac:dyDescent="0.25">
      <c r="I1139" s="22"/>
    </row>
    <row r="1140" spans="9:9" x14ac:dyDescent="0.25">
      <c r="I1140" s="22"/>
    </row>
    <row r="1141" spans="9:9" x14ac:dyDescent="0.25">
      <c r="I1141" s="22"/>
    </row>
    <row r="1142" spans="9:9" x14ac:dyDescent="0.25">
      <c r="I1142" s="22"/>
    </row>
    <row r="1143" spans="9:9" x14ac:dyDescent="0.25">
      <c r="I1143" s="22"/>
    </row>
    <row r="1144" spans="9:9" x14ac:dyDescent="0.25">
      <c r="I1144" s="22"/>
    </row>
    <row r="1145" spans="9:9" x14ac:dyDescent="0.25">
      <c r="I1145" s="22"/>
    </row>
    <row r="1146" spans="9:9" x14ac:dyDescent="0.25">
      <c r="I1146" s="22"/>
    </row>
    <row r="1147" spans="9:9" x14ac:dyDescent="0.25">
      <c r="I1147" s="22"/>
    </row>
    <row r="1148" spans="9:9" x14ac:dyDescent="0.25">
      <c r="I1148" s="22"/>
    </row>
    <row r="1149" spans="9:9" x14ac:dyDescent="0.25">
      <c r="I1149" s="22"/>
    </row>
    <row r="1150" spans="9:9" x14ac:dyDescent="0.25">
      <c r="I1150" s="22"/>
    </row>
    <row r="1151" spans="9:9" x14ac:dyDescent="0.25">
      <c r="I1151" s="22"/>
    </row>
    <row r="1152" spans="9:9" x14ac:dyDescent="0.25">
      <c r="I1152" s="22"/>
    </row>
    <row r="1153" spans="9:9" x14ac:dyDescent="0.25">
      <c r="I1153" s="22"/>
    </row>
    <row r="1154" spans="9:9" x14ac:dyDescent="0.25">
      <c r="I1154" s="22"/>
    </row>
    <row r="1155" spans="9:9" x14ac:dyDescent="0.25">
      <c r="I1155" s="22"/>
    </row>
    <row r="1156" spans="9:9" x14ac:dyDescent="0.25">
      <c r="I1156" s="22"/>
    </row>
    <row r="1157" spans="9:9" x14ac:dyDescent="0.25">
      <c r="I1157" s="22"/>
    </row>
    <row r="1158" spans="9:9" x14ac:dyDescent="0.25">
      <c r="I1158" s="22"/>
    </row>
    <row r="1159" spans="9:9" x14ac:dyDescent="0.25">
      <c r="I1159" s="22"/>
    </row>
    <row r="1160" spans="9:9" x14ac:dyDescent="0.25">
      <c r="I1160" s="22"/>
    </row>
    <row r="1161" spans="9:9" x14ac:dyDescent="0.25">
      <c r="I1161" s="22"/>
    </row>
    <row r="1162" spans="9:9" x14ac:dyDescent="0.25">
      <c r="I1162" s="22"/>
    </row>
    <row r="1163" spans="9:9" x14ac:dyDescent="0.25">
      <c r="I1163" s="22"/>
    </row>
    <row r="1164" spans="9:9" x14ac:dyDescent="0.25">
      <c r="I1164" s="22"/>
    </row>
    <row r="1165" spans="9:9" x14ac:dyDescent="0.25">
      <c r="I1165" s="22"/>
    </row>
    <row r="1166" spans="9:9" x14ac:dyDescent="0.25">
      <c r="I1166" s="22"/>
    </row>
    <row r="1167" spans="9:9" x14ac:dyDescent="0.25">
      <c r="I1167" s="22"/>
    </row>
    <row r="1168" spans="9:9" x14ac:dyDescent="0.25">
      <c r="I1168" s="22"/>
    </row>
    <row r="1169" spans="9:9" x14ac:dyDescent="0.25">
      <c r="I1169" s="22"/>
    </row>
    <row r="1170" spans="9:9" x14ac:dyDescent="0.25">
      <c r="I1170" s="22"/>
    </row>
    <row r="1171" spans="9:9" x14ac:dyDescent="0.25">
      <c r="I1171" s="22"/>
    </row>
    <row r="1172" spans="9:9" x14ac:dyDescent="0.25">
      <c r="I1172" s="22"/>
    </row>
    <row r="1173" spans="9:9" x14ac:dyDescent="0.25">
      <c r="I1173" s="22"/>
    </row>
    <row r="1174" spans="9:9" x14ac:dyDescent="0.25">
      <c r="I1174" s="22"/>
    </row>
    <row r="1175" spans="9:9" x14ac:dyDescent="0.25">
      <c r="I1175" s="22"/>
    </row>
    <row r="1176" spans="9:9" x14ac:dyDescent="0.25">
      <c r="I1176" s="22"/>
    </row>
    <row r="1177" spans="9:9" x14ac:dyDescent="0.25">
      <c r="I1177" s="22"/>
    </row>
    <row r="1178" spans="9:9" x14ac:dyDescent="0.25">
      <c r="I1178" s="22"/>
    </row>
    <row r="1179" spans="9:9" x14ac:dyDescent="0.25">
      <c r="I1179" s="22"/>
    </row>
    <row r="1180" spans="9:9" x14ac:dyDescent="0.25">
      <c r="I1180" s="22"/>
    </row>
    <row r="1181" spans="9:9" x14ac:dyDescent="0.25">
      <c r="I1181" s="22"/>
    </row>
    <row r="1182" spans="9:9" x14ac:dyDescent="0.25">
      <c r="I1182" s="22"/>
    </row>
    <row r="1183" spans="9:9" x14ac:dyDescent="0.25">
      <c r="I1183" s="22"/>
    </row>
    <row r="1184" spans="9:9" x14ac:dyDescent="0.25">
      <c r="I1184" s="22"/>
    </row>
    <row r="1185" spans="9:9" x14ac:dyDescent="0.25">
      <c r="I1185" s="22"/>
    </row>
    <row r="1186" spans="9:9" x14ac:dyDescent="0.25">
      <c r="I1186" s="22"/>
    </row>
    <row r="1187" spans="9:9" x14ac:dyDescent="0.25">
      <c r="I1187" s="22"/>
    </row>
    <row r="1188" spans="9:9" x14ac:dyDescent="0.25">
      <c r="I1188" s="22"/>
    </row>
    <row r="1189" spans="9:9" x14ac:dyDescent="0.25">
      <c r="I1189" s="22"/>
    </row>
    <row r="1190" spans="9:9" x14ac:dyDescent="0.25">
      <c r="I1190" s="22"/>
    </row>
    <row r="1191" spans="9:9" x14ac:dyDescent="0.25">
      <c r="I1191" s="22"/>
    </row>
    <row r="1192" spans="9:9" x14ac:dyDescent="0.25">
      <c r="I1192" s="22"/>
    </row>
    <row r="1193" spans="9:9" x14ac:dyDescent="0.25">
      <c r="I1193" s="22"/>
    </row>
    <row r="1194" spans="9:9" x14ac:dyDescent="0.25">
      <c r="I1194" s="22"/>
    </row>
    <row r="1195" spans="9:9" x14ac:dyDescent="0.25">
      <c r="I1195" s="22"/>
    </row>
    <row r="1196" spans="9:9" x14ac:dyDescent="0.25">
      <c r="I1196" s="22"/>
    </row>
    <row r="1197" spans="9:9" x14ac:dyDescent="0.25">
      <c r="I1197" s="22"/>
    </row>
    <row r="1198" spans="9:9" x14ac:dyDescent="0.25">
      <c r="I1198" s="22"/>
    </row>
    <row r="1199" spans="9:9" x14ac:dyDescent="0.25">
      <c r="I1199" s="22"/>
    </row>
    <row r="1200" spans="9:9" x14ac:dyDescent="0.25">
      <c r="I1200" s="22"/>
    </row>
    <row r="1201" spans="9:9" x14ac:dyDescent="0.25">
      <c r="I1201" s="22"/>
    </row>
    <row r="1202" spans="9:9" x14ac:dyDescent="0.25">
      <c r="I1202" s="22"/>
    </row>
    <row r="1203" spans="9:9" x14ac:dyDescent="0.25">
      <c r="I1203" s="22"/>
    </row>
    <row r="1204" spans="9:9" x14ac:dyDescent="0.25">
      <c r="I1204" s="22"/>
    </row>
    <row r="1205" spans="9:9" x14ac:dyDescent="0.25">
      <c r="I1205" s="22"/>
    </row>
    <row r="1206" spans="9:9" x14ac:dyDescent="0.25">
      <c r="I1206" s="22"/>
    </row>
    <row r="1207" spans="9:9" x14ac:dyDescent="0.25">
      <c r="I1207" s="22"/>
    </row>
    <row r="1208" spans="9:9" x14ac:dyDescent="0.25">
      <c r="I1208" s="22"/>
    </row>
    <row r="1209" spans="9:9" x14ac:dyDescent="0.25">
      <c r="I1209" s="22"/>
    </row>
    <row r="1210" spans="9:9" x14ac:dyDescent="0.25">
      <c r="I1210" s="22"/>
    </row>
    <row r="1211" spans="9:9" x14ac:dyDescent="0.25">
      <c r="I1211" s="22"/>
    </row>
    <row r="1212" spans="9:9" x14ac:dyDescent="0.25">
      <c r="I1212" s="22"/>
    </row>
    <row r="1213" spans="9:9" x14ac:dyDescent="0.25">
      <c r="I1213" s="22"/>
    </row>
    <row r="1214" spans="9:9" x14ac:dyDescent="0.25">
      <c r="I1214" s="22"/>
    </row>
    <row r="1215" spans="9:9" x14ac:dyDescent="0.25">
      <c r="I1215" s="22"/>
    </row>
    <row r="1216" spans="9:9" x14ac:dyDescent="0.25">
      <c r="I1216" s="22"/>
    </row>
    <row r="1217" spans="9:9" x14ac:dyDescent="0.25">
      <c r="I1217" s="22"/>
    </row>
    <row r="1772" spans="1:10" s="20" customFormat="1" x14ac:dyDescent="0.25">
      <c r="A1772" s="14"/>
      <c r="C1772" s="6"/>
      <c r="F1772" s="6"/>
      <c r="G1772" s="6"/>
      <c r="H1772" s="6"/>
      <c r="I1772" s="6"/>
      <c r="J1772" s="10"/>
    </row>
    <row r="1773" spans="1:10" s="20" customFormat="1" x14ac:dyDescent="0.25">
      <c r="A1773" s="14"/>
      <c r="C1773" s="6"/>
      <c r="F1773" s="6"/>
      <c r="G1773" s="6"/>
      <c r="H1773" s="6"/>
      <c r="I1773" s="6"/>
      <c r="J1773" s="10"/>
    </row>
  </sheetData>
  <autoFilter ref="A1:J1237" xr:uid="{00000000-0001-0000-0100-000000000000}">
    <sortState xmlns:xlrd2="http://schemas.microsoft.com/office/spreadsheetml/2017/richdata2" ref="A2:J1217">
      <sortCondition ref="A1:A1217"/>
    </sortState>
  </autoFilter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A67"/>
  <sheetViews>
    <sheetView workbookViewId="0">
      <selection activeCell="D71" sqref="D71"/>
    </sheetView>
  </sheetViews>
  <sheetFormatPr defaultRowHeight="15" x14ac:dyDescent="0.25"/>
  <cols>
    <col min="1" max="1" width="10.85546875" style="6" customWidth="1"/>
    <col min="2" max="2" width="30.42578125" style="4" customWidth="1"/>
    <col min="3" max="3" width="22.28515625" style="83" customWidth="1"/>
    <col min="4" max="4" width="7.140625" style="6" customWidth="1"/>
    <col min="5" max="5" width="7" style="6" customWidth="1"/>
    <col min="6" max="6" width="5.7109375" style="6" customWidth="1"/>
    <col min="7" max="7" width="6.7109375" style="6" customWidth="1"/>
    <col min="8" max="8" width="13.85546875" style="6" customWidth="1"/>
    <col min="9" max="9" width="15.5703125" style="6" customWidth="1"/>
    <col min="10" max="10" width="10.85546875" style="4" customWidth="1"/>
    <col min="11" max="11" width="12.28515625" style="4" customWidth="1"/>
    <col min="12" max="12" width="32.7109375" style="4" customWidth="1"/>
    <col min="13" max="14" width="9.140625" style="20"/>
    <col min="15" max="15" width="4.85546875" style="20" customWidth="1"/>
    <col min="16" max="16" width="28.7109375" style="6" customWidth="1"/>
    <col min="17" max="963" width="9.140625" style="20"/>
    <col min="964" max="16384" width="9.140625" style="3"/>
  </cols>
  <sheetData>
    <row r="1" spans="1:963" x14ac:dyDescent="0.25">
      <c r="A1" s="45" t="s">
        <v>316</v>
      </c>
      <c r="B1" s="48" t="s">
        <v>318</v>
      </c>
      <c r="D1" s="20"/>
      <c r="J1" s="14"/>
      <c r="K1" s="14"/>
    </row>
    <row r="2" spans="1:963" ht="15.75" x14ac:dyDescent="0.25">
      <c r="A2" s="52">
        <f>SUM(J4:J1002)*-1</f>
        <v>0</v>
      </c>
      <c r="B2" s="50">
        <f>SUM(C5:C97)</f>
        <v>0</v>
      </c>
      <c r="D2" s="20"/>
      <c r="H2" s="78"/>
      <c r="I2" s="66"/>
      <c r="J2" s="78"/>
      <c r="K2" s="78"/>
    </row>
    <row r="3" spans="1:963" s="20" customFormat="1" ht="15.75" x14ac:dyDescent="0.25">
      <c r="A3" s="82"/>
      <c r="B3" s="82"/>
      <c r="C3" s="77"/>
      <c r="E3" s="6"/>
      <c r="F3" s="6"/>
      <c r="G3" s="6"/>
      <c r="H3" s="78"/>
      <c r="I3" s="66"/>
      <c r="J3" s="78"/>
      <c r="K3" s="78"/>
      <c r="L3" s="6"/>
      <c r="P3" s="6"/>
    </row>
    <row r="4" spans="1:963" s="46" customFormat="1" x14ac:dyDescent="0.25">
      <c r="A4" s="56" t="s">
        <v>3</v>
      </c>
      <c r="B4" s="57" t="s">
        <v>4</v>
      </c>
      <c r="C4" s="84" t="s">
        <v>7</v>
      </c>
      <c r="D4" s="57" t="s">
        <v>302</v>
      </c>
      <c r="E4" s="57" t="s">
        <v>303</v>
      </c>
      <c r="F4" s="57" t="s">
        <v>304</v>
      </c>
      <c r="G4" s="57" t="s">
        <v>51</v>
      </c>
      <c r="H4" s="57" t="s">
        <v>50</v>
      </c>
      <c r="I4" s="57" t="s">
        <v>296</v>
      </c>
      <c r="J4" s="64" t="s">
        <v>317</v>
      </c>
      <c r="K4" s="64" t="s">
        <v>575</v>
      </c>
      <c r="L4" s="57" t="s">
        <v>577</v>
      </c>
      <c r="M4" s="47"/>
      <c r="N4" s="47"/>
      <c r="O4" s="47"/>
      <c r="P4" s="36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7"/>
      <c r="LR4" s="47"/>
      <c r="LS4" s="47"/>
      <c r="LT4" s="47"/>
      <c r="LU4" s="47"/>
      <c r="LV4" s="47"/>
      <c r="LW4" s="47"/>
      <c r="LX4" s="47"/>
      <c r="LY4" s="47"/>
      <c r="LZ4" s="47"/>
      <c r="MA4" s="47"/>
      <c r="MB4" s="47"/>
      <c r="MC4" s="47"/>
      <c r="MD4" s="47"/>
      <c r="ME4" s="47"/>
      <c r="MF4" s="47"/>
      <c r="MG4" s="47"/>
      <c r="MH4" s="47"/>
      <c r="MI4" s="47"/>
      <c r="MJ4" s="47"/>
      <c r="MK4" s="47"/>
      <c r="ML4" s="47"/>
      <c r="MM4" s="47"/>
      <c r="MN4" s="47"/>
      <c r="MO4" s="47"/>
      <c r="MP4" s="47"/>
      <c r="MQ4" s="47"/>
      <c r="MR4" s="47"/>
      <c r="MS4" s="47"/>
      <c r="MT4" s="47"/>
      <c r="MU4" s="47"/>
      <c r="MV4" s="47"/>
      <c r="MW4" s="47"/>
      <c r="MX4" s="47"/>
      <c r="MY4" s="47"/>
      <c r="MZ4" s="47"/>
      <c r="NA4" s="47"/>
      <c r="NB4" s="47"/>
      <c r="NC4" s="47"/>
      <c r="ND4" s="47"/>
      <c r="NE4" s="47"/>
      <c r="NF4" s="47"/>
      <c r="NG4" s="47"/>
      <c r="NH4" s="47"/>
      <c r="NI4" s="47"/>
      <c r="NJ4" s="47"/>
      <c r="NK4" s="47"/>
      <c r="NL4" s="47"/>
      <c r="NM4" s="47"/>
      <c r="NN4" s="47"/>
      <c r="NO4" s="47"/>
      <c r="NP4" s="47"/>
      <c r="NQ4" s="47"/>
      <c r="NR4" s="47"/>
      <c r="NS4" s="47"/>
      <c r="NT4" s="47"/>
      <c r="NU4" s="47"/>
      <c r="NV4" s="47"/>
      <c r="NW4" s="47"/>
      <c r="NX4" s="47"/>
      <c r="NY4" s="47"/>
      <c r="NZ4" s="47"/>
      <c r="OA4" s="47"/>
      <c r="OB4" s="47"/>
      <c r="OC4" s="47"/>
      <c r="OD4" s="47"/>
      <c r="OE4" s="47"/>
      <c r="OF4" s="47"/>
      <c r="OG4" s="47"/>
      <c r="OH4" s="47"/>
      <c r="OI4" s="47"/>
      <c r="OJ4" s="47"/>
      <c r="OK4" s="47"/>
      <c r="OL4" s="47"/>
      <c r="OM4" s="47"/>
      <c r="ON4" s="47"/>
      <c r="OO4" s="47"/>
      <c r="OP4" s="47"/>
      <c r="OQ4" s="47"/>
      <c r="OR4" s="47"/>
      <c r="OS4" s="47"/>
      <c r="OT4" s="47"/>
      <c r="OU4" s="47"/>
      <c r="OV4" s="47"/>
      <c r="OW4" s="47"/>
      <c r="OX4" s="47"/>
      <c r="OY4" s="47"/>
      <c r="OZ4" s="47"/>
      <c r="PA4" s="47"/>
      <c r="PB4" s="47"/>
      <c r="PC4" s="47"/>
      <c r="PD4" s="47"/>
      <c r="PE4" s="47"/>
      <c r="PF4" s="47"/>
      <c r="PG4" s="47"/>
      <c r="PH4" s="47"/>
      <c r="PI4" s="47"/>
      <c r="PJ4" s="47"/>
      <c r="PK4" s="47"/>
      <c r="PL4" s="47"/>
      <c r="PM4" s="47"/>
      <c r="PN4" s="47"/>
      <c r="PO4" s="47"/>
      <c r="PP4" s="47"/>
      <c r="PQ4" s="47"/>
      <c r="PR4" s="47"/>
      <c r="PS4" s="47"/>
      <c r="PT4" s="47"/>
      <c r="PU4" s="47"/>
      <c r="PV4" s="47"/>
      <c r="PW4" s="47"/>
      <c r="PX4" s="47"/>
      <c r="PY4" s="47"/>
      <c r="PZ4" s="47"/>
      <c r="QA4" s="47"/>
      <c r="QB4" s="47"/>
      <c r="QC4" s="47"/>
      <c r="QD4" s="47"/>
      <c r="QE4" s="47"/>
      <c r="QF4" s="47"/>
      <c r="QG4" s="47"/>
      <c r="QH4" s="47"/>
      <c r="QI4" s="47"/>
      <c r="QJ4" s="47"/>
      <c r="QK4" s="47"/>
      <c r="QL4" s="47"/>
      <c r="QM4" s="47"/>
      <c r="QN4" s="47"/>
      <c r="QO4" s="47"/>
      <c r="QP4" s="47"/>
      <c r="QQ4" s="47"/>
      <c r="QR4" s="47"/>
      <c r="QS4" s="47"/>
      <c r="QT4" s="47"/>
      <c r="QU4" s="47"/>
      <c r="QV4" s="47"/>
      <c r="QW4" s="47"/>
      <c r="QX4" s="47"/>
      <c r="QY4" s="47"/>
      <c r="QZ4" s="47"/>
      <c r="RA4" s="47"/>
      <c r="RB4" s="47"/>
      <c r="RC4" s="47"/>
      <c r="RD4" s="47"/>
      <c r="RE4" s="47"/>
      <c r="RF4" s="47"/>
      <c r="RG4" s="47"/>
      <c r="RH4" s="47"/>
      <c r="RI4" s="47"/>
      <c r="RJ4" s="47"/>
      <c r="RK4" s="47"/>
      <c r="RL4" s="47"/>
      <c r="RM4" s="47"/>
      <c r="RN4" s="47"/>
      <c r="RO4" s="47"/>
      <c r="RP4" s="47"/>
      <c r="RQ4" s="47"/>
      <c r="RR4" s="47"/>
      <c r="RS4" s="47"/>
      <c r="RT4" s="47"/>
      <c r="RU4" s="47"/>
      <c r="RV4" s="47"/>
      <c r="RW4" s="47"/>
      <c r="RX4" s="47"/>
      <c r="RY4" s="47"/>
      <c r="RZ4" s="47"/>
      <c r="SA4" s="47"/>
      <c r="SB4" s="47"/>
      <c r="SC4" s="47"/>
      <c r="SD4" s="47"/>
      <c r="SE4" s="47"/>
      <c r="SF4" s="47"/>
      <c r="SG4" s="47"/>
      <c r="SH4" s="47"/>
      <c r="SI4" s="47"/>
      <c r="SJ4" s="47"/>
      <c r="SK4" s="47"/>
      <c r="SL4" s="47"/>
      <c r="SM4" s="47"/>
      <c r="SN4" s="47"/>
      <c r="SO4" s="47"/>
      <c r="SP4" s="47"/>
      <c r="SQ4" s="47"/>
      <c r="SR4" s="47"/>
      <c r="SS4" s="47"/>
      <c r="ST4" s="47"/>
      <c r="SU4" s="47"/>
      <c r="SV4" s="47"/>
      <c r="SW4" s="47"/>
      <c r="SX4" s="47"/>
      <c r="SY4" s="47"/>
      <c r="SZ4" s="47"/>
      <c r="TA4" s="47"/>
      <c r="TB4" s="47"/>
      <c r="TC4" s="47"/>
      <c r="TD4" s="47"/>
      <c r="TE4" s="47"/>
      <c r="TF4" s="47"/>
      <c r="TG4" s="47"/>
      <c r="TH4" s="47"/>
      <c r="TI4" s="47"/>
      <c r="TJ4" s="47"/>
      <c r="TK4" s="47"/>
      <c r="TL4" s="47"/>
      <c r="TM4" s="47"/>
      <c r="TN4" s="47"/>
      <c r="TO4" s="47"/>
      <c r="TP4" s="47"/>
      <c r="TQ4" s="47"/>
      <c r="TR4" s="47"/>
      <c r="TS4" s="47"/>
      <c r="TT4" s="47"/>
      <c r="TU4" s="47"/>
      <c r="TV4" s="47"/>
      <c r="TW4" s="47"/>
      <c r="TX4" s="47"/>
      <c r="TY4" s="47"/>
      <c r="TZ4" s="47"/>
      <c r="UA4" s="47"/>
      <c r="UB4" s="47"/>
      <c r="UC4" s="47"/>
      <c r="UD4" s="47"/>
      <c r="UE4" s="47"/>
      <c r="UF4" s="47"/>
      <c r="UG4" s="47"/>
      <c r="UH4" s="47"/>
      <c r="UI4" s="47"/>
      <c r="UJ4" s="47"/>
      <c r="UK4" s="47"/>
      <c r="UL4" s="47"/>
      <c r="UM4" s="47"/>
      <c r="UN4" s="47"/>
      <c r="UO4" s="47"/>
      <c r="UP4" s="47"/>
      <c r="UQ4" s="47"/>
      <c r="UR4" s="47"/>
      <c r="US4" s="47"/>
      <c r="UT4" s="47"/>
      <c r="UU4" s="47"/>
      <c r="UV4" s="47"/>
      <c r="UW4" s="47"/>
      <c r="UX4" s="47"/>
      <c r="UY4" s="47"/>
      <c r="UZ4" s="47"/>
      <c r="VA4" s="47"/>
      <c r="VB4" s="47"/>
      <c r="VC4" s="47"/>
      <c r="VD4" s="47"/>
      <c r="VE4" s="47"/>
      <c r="VF4" s="47"/>
      <c r="VG4" s="47"/>
      <c r="VH4" s="47"/>
      <c r="VI4" s="47"/>
      <c r="VJ4" s="47"/>
      <c r="VK4" s="47"/>
      <c r="VL4" s="47"/>
      <c r="VM4" s="47"/>
      <c r="VN4" s="47"/>
      <c r="VO4" s="47"/>
      <c r="VP4" s="47"/>
      <c r="VQ4" s="47"/>
      <c r="VR4" s="47"/>
      <c r="VS4" s="47"/>
      <c r="VT4" s="47"/>
      <c r="VU4" s="47"/>
      <c r="VV4" s="47"/>
      <c r="VW4" s="47"/>
      <c r="VX4" s="47"/>
      <c r="VY4" s="47"/>
      <c r="VZ4" s="47"/>
      <c r="WA4" s="47"/>
      <c r="WB4" s="47"/>
      <c r="WC4" s="47"/>
      <c r="WD4" s="47"/>
      <c r="WE4" s="47"/>
      <c r="WF4" s="47"/>
      <c r="WG4" s="47"/>
      <c r="WH4" s="47"/>
      <c r="WI4" s="47"/>
      <c r="WJ4" s="47"/>
      <c r="WK4" s="47"/>
      <c r="WL4" s="47"/>
      <c r="WM4" s="47"/>
      <c r="WN4" s="47"/>
      <c r="WO4" s="47"/>
      <c r="WP4" s="47"/>
      <c r="WQ4" s="47"/>
      <c r="WR4" s="47"/>
      <c r="WS4" s="47"/>
      <c r="WT4" s="47"/>
      <c r="WU4" s="47"/>
      <c r="WV4" s="47"/>
      <c r="WW4" s="47"/>
      <c r="WX4" s="47"/>
      <c r="WY4" s="47"/>
      <c r="WZ4" s="47"/>
      <c r="XA4" s="47"/>
      <c r="XB4" s="47"/>
      <c r="XC4" s="47"/>
      <c r="XD4" s="47"/>
      <c r="XE4" s="47"/>
      <c r="XF4" s="47"/>
      <c r="XG4" s="47"/>
      <c r="XH4" s="47"/>
      <c r="XI4" s="47"/>
      <c r="XJ4" s="47"/>
      <c r="XK4" s="47"/>
      <c r="XL4" s="47"/>
      <c r="XM4" s="47"/>
      <c r="XN4" s="47"/>
      <c r="XO4" s="47"/>
      <c r="XP4" s="47"/>
      <c r="XQ4" s="47"/>
      <c r="XR4" s="47"/>
      <c r="XS4" s="47"/>
      <c r="XT4" s="47"/>
      <c r="XU4" s="47"/>
      <c r="XV4" s="47"/>
      <c r="XW4" s="47"/>
      <c r="XX4" s="47"/>
      <c r="XY4" s="47"/>
      <c r="XZ4" s="47"/>
      <c r="YA4" s="47"/>
      <c r="YB4" s="47"/>
      <c r="YC4" s="47"/>
      <c r="YD4" s="47"/>
      <c r="YE4" s="47"/>
      <c r="YF4" s="47"/>
      <c r="YG4" s="47"/>
      <c r="YH4" s="47"/>
      <c r="YI4" s="47"/>
      <c r="YJ4" s="47"/>
      <c r="YK4" s="47"/>
      <c r="YL4" s="47"/>
      <c r="YM4" s="47"/>
      <c r="YN4" s="47"/>
      <c r="YO4" s="47"/>
      <c r="YP4" s="47"/>
      <c r="YQ4" s="47"/>
      <c r="YR4" s="47"/>
      <c r="YS4" s="47"/>
      <c r="YT4" s="47"/>
      <c r="YU4" s="47"/>
      <c r="YV4" s="47"/>
      <c r="YW4" s="47"/>
      <c r="YX4" s="47"/>
      <c r="YY4" s="47"/>
      <c r="YZ4" s="47"/>
      <c r="ZA4" s="47"/>
      <c r="ZB4" s="47"/>
      <c r="ZC4" s="47"/>
      <c r="ZD4" s="47"/>
      <c r="ZE4" s="47"/>
      <c r="ZF4" s="47"/>
      <c r="ZG4" s="47"/>
      <c r="ZH4" s="47"/>
      <c r="ZI4" s="47"/>
      <c r="ZJ4" s="47"/>
      <c r="ZK4" s="47"/>
      <c r="ZL4" s="47"/>
      <c r="ZM4" s="47"/>
      <c r="ZN4" s="47"/>
      <c r="ZO4" s="47"/>
      <c r="ZP4" s="47"/>
      <c r="ZQ4" s="47"/>
      <c r="ZR4" s="47"/>
      <c r="ZS4" s="47"/>
      <c r="ZT4" s="47"/>
      <c r="ZU4" s="47"/>
      <c r="ZV4" s="47"/>
      <c r="ZW4" s="47"/>
      <c r="ZX4" s="47"/>
      <c r="ZY4" s="47"/>
      <c r="ZZ4" s="47"/>
      <c r="AAA4" s="47"/>
      <c r="AAB4" s="47"/>
      <c r="AAC4" s="47"/>
      <c r="AAD4" s="47"/>
      <c r="AAE4" s="47"/>
      <c r="AAF4" s="47"/>
      <c r="AAG4" s="47"/>
      <c r="AAH4" s="47"/>
      <c r="AAI4" s="47"/>
      <c r="AAJ4" s="47"/>
      <c r="AAK4" s="47"/>
      <c r="AAL4" s="47"/>
      <c r="AAM4" s="47"/>
      <c r="AAN4" s="47"/>
      <c r="AAO4" s="47"/>
      <c r="AAP4" s="47"/>
      <c r="AAQ4" s="47"/>
      <c r="AAR4" s="47"/>
      <c r="AAS4" s="47"/>
      <c r="AAT4" s="47"/>
      <c r="AAU4" s="47"/>
      <c r="AAV4" s="47"/>
      <c r="AAW4" s="47"/>
      <c r="AAX4" s="47"/>
      <c r="AAY4" s="47"/>
      <c r="AAZ4" s="47"/>
      <c r="ABA4" s="47"/>
      <c r="ABB4" s="47"/>
      <c r="ABC4" s="47"/>
      <c r="ABD4" s="47"/>
      <c r="ABE4" s="47"/>
      <c r="ABF4" s="47"/>
      <c r="ABG4" s="47"/>
      <c r="ABH4" s="47"/>
      <c r="ABI4" s="47"/>
      <c r="ABJ4" s="47"/>
      <c r="ABK4" s="47"/>
      <c r="ABL4" s="47"/>
      <c r="ABM4" s="47"/>
      <c r="ABN4" s="47"/>
      <c r="ABO4" s="47"/>
      <c r="ABP4" s="47"/>
      <c r="ABQ4" s="47"/>
      <c r="ABR4" s="47"/>
      <c r="ABS4" s="47"/>
      <c r="ABT4" s="47"/>
      <c r="ABU4" s="47"/>
      <c r="ABV4" s="47"/>
      <c r="ABW4" s="47"/>
      <c r="ABX4" s="47"/>
      <c r="ABY4" s="47"/>
      <c r="ABZ4" s="47"/>
      <c r="ACA4" s="47"/>
      <c r="ACB4" s="47"/>
      <c r="ACC4" s="47"/>
      <c r="ACD4" s="47"/>
      <c r="ACE4" s="47"/>
      <c r="ACF4" s="47"/>
      <c r="ACG4" s="47"/>
      <c r="ACH4" s="47"/>
      <c r="ACI4" s="47"/>
      <c r="ACJ4" s="47"/>
      <c r="ACK4" s="47"/>
      <c r="ACL4" s="47"/>
      <c r="ACM4" s="47"/>
      <c r="ACN4" s="47"/>
      <c r="ACO4" s="47"/>
      <c r="ACP4" s="47"/>
      <c r="ACQ4" s="47"/>
      <c r="ACR4" s="47"/>
      <c r="ACS4" s="47"/>
      <c r="ACT4" s="47"/>
      <c r="ACU4" s="47"/>
      <c r="ACV4" s="47"/>
      <c r="ACW4" s="47"/>
      <c r="ACX4" s="47"/>
      <c r="ACY4" s="47"/>
      <c r="ACZ4" s="47"/>
      <c r="ADA4" s="47"/>
      <c r="ADB4" s="47"/>
      <c r="ADC4" s="47"/>
      <c r="ADD4" s="47"/>
      <c r="ADE4" s="47"/>
      <c r="ADF4" s="47"/>
      <c r="ADG4" s="47"/>
      <c r="ADH4" s="47"/>
      <c r="ADI4" s="47"/>
      <c r="ADJ4" s="47"/>
      <c r="ADK4" s="47"/>
      <c r="ADL4" s="47"/>
      <c r="ADM4" s="47"/>
      <c r="ADN4" s="47"/>
      <c r="ADO4" s="47"/>
      <c r="ADP4" s="47"/>
      <c r="ADQ4" s="47"/>
      <c r="ADR4" s="47"/>
      <c r="ADS4" s="47"/>
      <c r="ADT4" s="47"/>
      <c r="ADU4" s="47"/>
      <c r="ADV4" s="47"/>
      <c r="ADW4" s="47"/>
      <c r="ADX4" s="47"/>
      <c r="ADY4" s="47"/>
      <c r="ADZ4" s="47"/>
      <c r="AEA4" s="47"/>
      <c r="AEB4" s="47"/>
      <c r="AEC4" s="47"/>
      <c r="AED4" s="47"/>
      <c r="AEE4" s="47"/>
      <c r="AEF4" s="47"/>
      <c r="AEG4" s="47"/>
      <c r="AEH4" s="47"/>
      <c r="AEI4" s="47"/>
      <c r="AEJ4" s="47"/>
      <c r="AEK4" s="47"/>
      <c r="AEL4" s="47"/>
      <c r="AEM4" s="47"/>
      <c r="AEN4" s="47"/>
      <c r="AEO4" s="47"/>
      <c r="AEP4" s="47"/>
      <c r="AEQ4" s="47"/>
      <c r="AER4" s="47"/>
      <c r="AES4" s="47"/>
      <c r="AET4" s="47"/>
      <c r="AEU4" s="47"/>
      <c r="AEV4" s="47"/>
      <c r="AEW4" s="47"/>
      <c r="AEX4" s="47"/>
      <c r="AEY4" s="47"/>
      <c r="AEZ4" s="47"/>
      <c r="AFA4" s="47"/>
      <c r="AFB4" s="47"/>
      <c r="AFC4" s="47"/>
      <c r="AFD4" s="47"/>
      <c r="AFE4" s="47"/>
      <c r="AFF4" s="47"/>
      <c r="AFG4" s="47"/>
      <c r="AFH4" s="47"/>
      <c r="AFI4" s="47"/>
      <c r="AFJ4" s="47"/>
      <c r="AFK4" s="47"/>
      <c r="AFL4" s="47"/>
      <c r="AFM4" s="47"/>
      <c r="AFN4" s="47"/>
      <c r="AFO4" s="47"/>
      <c r="AFP4" s="47"/>
      <c r="AFQ4" s="47"/>
      <c r="AFR4" s="47"/>
      <c r="AFS4" s="47"/>
      <c r="AFT4" s="47"/>
      <c r="AFU4" s="47"/>
      <c r="AFV4" s="47"/>
      <c r="AFW4" s="47"/>
      <c r="AFX4" s="47"/>
      <c r="AFY4" s="47"/>
      <c r="AFZ4" s="47"/>
      <c r="AGA4" s="47"/>
      <c r="AGB4" s="47"/>
      <c r="AGC4" s="47"/>
      <c r="AGD4" s="47"/>
      <c r="AGE4" s="47"/>
      <c r="AGF4" s="47"/>
      <c r="AGG4" s="47"/>
      <c r="AGH4" s="47"/>
      <c r="AGI4" s="47"/>
      <c r="AGJ4" s="47"/>
      <c r="AGK4" s="47"/>
      <c r="AGL4" s="47"/>
      <c r="AGM4" s="47"/>
      <c r="AGN4" s="47"/>
      <c r="AGO4" s="47"/>
      <c r="AGP4" s="47"/>
      <c r="AGQ4" s="47"/>
      <c r="AGR4" s="47"/>
      <c r="AGS4" s="47"/>
      <c r="AGT4" s="47"/>
      <c r="AGU4" s="47"/>
      <c r="AGV4" s="47"/>
      <c r="AGW4" s="47"/>
      <c r="AGX4" s="47"/>
      <c r="AGY4" s="47"/>
      <c r="AGZ4" s="47"/>
      <c r="AHA4" s="47"/>
      <c r="AHB4" s="47"/>
      <c r="AHC4" s="47"/>
      <c r="AHD4" s="47"/>
      <c r="AHE4" s="47"/>
      <c r="AHF4" s="47"/>
      <c r="AHG4" s="47"/>
      <c r="AHH4" s="47"/>
      <c r="AHI4" s="47"/>
      <c r="AHJ4" s="47"/>
      <c r="AHK4" s="47"/>
      <c r="AHL4" s="47"/>
      <c r="AHM4" s="47"/>
      <c r="AHN4" s="47"/>
      <c r="AHO4" s="47"/>
      <c r="AHP4" s="47"/>
      <c r="AHQ4" s="47"/>
      <c r="AHR4" s="47"/>
      <c r="AHS4" s="47"/>
      <c r="AHT4" s="47"/>
      <c r="AHU4" s="47"/>
      <c r="AHV4" s="47"/>
      <c r="AHW4" s="47"/>
      <c r="AHX4" s="47"/>
      <c r="AHY4" s="47"/>
      <c r="AHZ4" s="47"/>
      <c r="AIA4" s="47"/>
      <c r="AIB4" s="47"/>
      <c r="AIC4" s="47"/>
      <c r="AID4" s="47"/>
      <c r="AIE4" s="47"/>
      <c r="AIF4" s="47"/>
      <c r="AIG4" s="47"/>
      <c r="AIH4" s="47"/>
      <c r="AII4" s="47"/>
      <c r="AIJ4" s="47"/>
      <c r="AIK4" s="47"/>
      <c r="AIL4" s="47"/>
      <c r="AIM4" s="47"/>
      <c r="AIN4" s="47"/>
      <c r="AIO4" s="47"/>
      <c r="AIP4" s="47"/>
      <c r="AIQ4" s="47"/>
      <c r="AIR4" s="47"/>
      <c r="AIS4" s="47"/>
      <c r="AIT4" s="47"/>
      <c r="AIU4" s="47"/>
      <c r="AIV4" s="47"/>
      <c r="AIW4" s="47"/>
      <c r="AIX4" s="47"/>
      <c r="AIY4" s="47"/>
      <c r="AIZ4" s="47"/>
      <c r="AJA4" s="47"/>
      <c r="AJB4" s="47"/>
      <c r="AJC4" s="47"/>
      <c r="AJD4" s="47"/>
      <c r="AJE4" s="47"/>
      <c r="AJF4" s="47"/>
      <c r="AJG4" s="47"/>
      <c r="AJH4" s="47"/>
      <c r="AJI4" s="47"/>
      <c r="AJJ4" s="47"/>
      <c r="AJK4" s="47"/>
      <c r="AJL4" s="47"/>
      <c r="AJM4" s="47"/>
      <c r="AJN4" s="47"/>
      <c r="AJO4" s="47"/>
      <c r="AJP4" s="47"/>
      <c r="AJQ4" s="47"/>
      <c r="AJR4" s="47"/>
      <c r="AJS4" s="47"/>
      <c r="AJT4" s="47"/>
      <c r="AJU4" s="47"/>
      <c r="AJV4" s="47"/>
      <c r="AJW4" s="47"/>
      <c r="AJX4" s="47"/>
      <c r="AJY4" s="47"/>
      <c r="AJZ4" s="47"/>
      <c r="AKA4" s="47"/>
    </row>
    <row r="5" spans="1:963" x14ac:dyDescent="0.25">
      <c r="A5" s="62" t="s">
        <v>542</v>
      </c>
      <c r="B5" s="7" t="s">
        <v>560</v>
      </c>
      <c r="C5" s="67"/>
      <c r="J5" s="69"/>
      <c r="K5" s="87"/>
      <c r="L5" s="98"/>
    </row>
    <row r="6" spans="1:963" s="20" customFormat="1" x14ac:dyDescent="0.25">
      <c r="A6" s="62" t="s">
        <v>542</v>
      </c>
      <c r="B6" s="7" t="s">
        <v>530</v>
      </c>
      <c r="C6" s="67"/>
      <c r="D6" s="6"/>
      <c r="E6" s="6"/>
      <c r="F6" s="6"/>
      <c r="G6" s="6"/>
      <c r="H6" s="6"/>
      <c r="I6" s="6"/>
      <c r="J6" s="24"/>
      <c r="K6" s="79"/>
      <c r="L6" s="6"/>
      <c r="P6" s="6"/>
      <c r="Q6" s="55"/>
    </row>
    <row r="7" spans="1:963" x14ac:dyDescent="0.25">
      <c r="A7" s="62" t="s">
        <v>542</v>
      </c>
      <c r="B7" s="7" t="s">
        <v>537</v>
      </c>
      <c r="C7" s="67"/>
      <c r="J7" s="24"/>
      <c r="K7" s="79"/>
      <c r="L7" s="6"/>
      <c r="Q7" s="55"/>
    </row>
    <row r="8" spans="1:963" x14ac:dyDescent="0.25">
      <c r="A8" s="62" t="s">
        <v>542</v>
      </c>
      <c r="B8" s="7" t="s">
        <v>536</v>
      </c>
      <c r="C8" s="67"/>
      <c r="J8" s="24"/>
      <c r="K8" s="79"/>
      <c r="L8" s="6"/>
      <c r="Q8" s="55"/>
    </row>
    <row r="9" spans="1:963" x14ac:dyDescent="0.25">
      <c r="A9" s="62" t="s">
        <v>542</v>
      </c>
      <c r="B9" s="7" t="s">
        <v>576</v>
      </c>
      <c r="C9" s="67"/>
      <c r="J9" s="24"/>
      <c r="K9" s="79"/>
      <c r="L9" s="6"/>
      <c r="Q9" s="55"/>
    </row>
    <row r="10" spans="1:963" x14ac:dyDescent="0.25">
      <c r="A10" s="62" t="s">
        <v>542</v>
      </c>
      <c r="B10" s="7" t="s">
        <v>534</v>
      </c>
      <c r="C10" s="67"/>
      <c r="E10" s="7"/>
      <c r="J10" s="24"/>
      <c r="K10" s="79"/>
      <c r="L10" s="6"/>
    </row>
    <row r="11" spans="1:963" s="18" customFormat="1" x14ac:dyDescent="0.25">
      <c r="A11" s="63" t="s">
        <v>542</v>
      </c>
      <c r="B11" s="65" t="s">
        <v>531</v>
      </c>
      <c r="C11" s="75"/>
      <c r="D11" s="66"/>
      <c r="E11" s="65"/>
      <c r="F11" s="66"/>
      <c r="G11" s="66"/>
      <c r="H11" s="66"/>
      <c r="I11" s="66"/>
      <c r="J11" s="80"/>
      <c r="K11" s="88"/>
      <c r="L11" s="6"/>
      <c r="P11" s="6"/>
    </row>
    <row r="12" spans="1:963" x14ac:dyDescent="0.25">
      <c r="A12" s="62" t="s">
        <v>542</v>
      </c>
      <c r="B12" s="60" t="s">
        <v>540</v>
      </c>
      <c r="C12" s="61"/>
      <c r="J12" s="24"/>
      <c r="K12" s="79"/>
      <c r="L12" s="6"/>
    </row>
    <row r="13" spans="1:963" s="20" customFormat="1" x14ac:dyDescent="0.25">
      <c r="A13" s="62" t="s">
        <v>542</v>
      </c>
      <c r="B13" s="60" t="s">
        <v>541</v>
      </c>
      <c r="C13" s="61"/>
      <c r="D13" s="6"/>
      <c r="E13" s="6"/>
      <c r="F13" s="6"/>
      <c r="G13" s="6"/>
      <c r="H13" s="6"/>
      <c r="I13" s="6"/>
      <c r="J13" s="80"/>
      <c r="K13" s="79"/>
      <c r="L13" s="6"/>
      <c r="P13" s="6"/>
    </row>
    <row r="14" spans="1:963" x14ac:dyDescent="0.25">
      <c r="A14" s="62" t="s">
        <v>542</v>
      </c>
      <c r="B14" s="60" t="s">
        <v>539</v>
      </c>
      <c r="C14" s="61"/>
      <c r="J14" s="106"/>
      <c r="K14" s="89"/>
      <c r="L14" s="6"/>
    </row>
    <row r="15" spans="1:963" x14ac:dyDescent="0.25">
      <c r="A15" s="68">
        <v>46091</v>
      </c>
      <c r="B15" s="7" t="s">
        <v>581</v>
      </c>
      <c r="C15" s="67"/>
      <c r="J15" s="96"/>
      <c r="K15" s="97"/>
      <c r="L15" s="6"/>
    </row>
    <row r="16" spans="1:963" s="20" customFormat="1" x14ac:dyDescent="0.25">
      <c r="A16" s="68">
        <v>46090</v>
      </c>
      <c r="B16" s="7" t="s">
        <v>574</v>
      </c>
      <c r="C16" s="67"/>
      <c r="D16" s="6"/>
      <c r="E16" s="6"/>
      <c r="F16" s="6"/>
      <c r="G16" s="6"/>
      <c r="H16" s="6"/>
      <c r="I16" s="6"/>
      <c r="J16" s="69"/>
      <c r="K16" s="79"/>
      <c r="L16" s="6"/>
      <c r="P16" s="6"/>
    </row>
    <row r="17" spans="1:963" x14ac:dyDescent="0.25">
      <c r="A17" s="68">
        <v>46088</v>
      </c>
      <c r="B17" s="7" t="s">
        <v>565</v>
      </c>
      <c r="C17" s="67"/>
      <c r="J17" s="24"/>
      <c r="K17" s="79"/>
      <c r="L17" s="6"/>
    </row>
    <row r="18" spans="1:963" s="20" customFormat="1" x14ac:dyDescent="0.25">
      <c r="A18" s="68">
        <v>46087</v>
      </c>
      <c r="B18" s="7" t="s">
        <v>563</v>
      </c>
      <c r="C18" s="67"/>
      <c r="D18" s="6"/>
      <c r="E18" s="6"/>
      <c r="F18" s="6"/>
      <c r="G18" s="6"/>
      <c r="H18" s="6"/>
      <c r="I18" s="6"/>
      <c r="J18" s="24"/>
      <c r="K18" s="79"/>
      <c r="L18" s="6"/>
      <c r="P18" s="6"/>
    </row>
    <row r="19" spans="1:963" x14ac:dyDescent="0.25">
      <c r="A19" s="68">
        <v>46086</v>
      </c>
      <c r="B19" s="7" t="s">
        <v>557</v>
      </c>
      <c r="C19" s="67"/>
      <c r="J19" s="24"/>
      <c r="K19" s="79"/>
      <c r="L19" s="6"/>
    </row>
    <row r="20" spans="1:963" x14ac:dyDescent="0.25">
      <c r="A20" s="68">
        <v>46084</v>
      </c>
      <c r="B20" s="7" t="s">
        <v>529</v>
      </c>
      <c r="C20" s="67"/>
      <c r="J20" s="24"/>
      <c r="K20" s="79"/>
      <c r="L20" s="6"/>
    </row>
    <row r="21" spans="1:963" x14ac:dyDescent="0.25">
      <c r="A21" s="68">
        <v>46084</v>
      </c>
      <c r="B21" s="7" t="s">
        <v>526</v>
      </c>
      <c r="C21" s="67"/>
      <c r="J21" s="24"/>
      <c r="K21" s="79"/>
      <c r="L21" s="14"/>
    </row>
    <row r="22" spans="1:963" x14ac:dyDescent="0.25">
      <c r="A22" s="68">
        <v>46084</v>
      </c>
      <c r="B22" s="7" t="s">
        <v>528</v>
      </c>
      <c r="C22" s="67"/>
      <c r="J22" s="24"/>
      <c r="K22" s="79"/>
      <c r="L22" s="14"/>
    </row>
    <row r="23" spans="1:963" x14ac:dyDescent="0.25">
      <c r="A23" s="68">
        <v>46083</v>
      </c>
      <c r="B23" s="7" t="s">
        <v>360</v>
      </c>
      <c r="C23" s="67"/>
      <c r="J23" s="69"/>
      <c r="K23" s="79"/>
      <c r="L23" s="14"/>
    </row>
    <row r="24" spans="1:963" x14ac:dyDescent="0.25">
      <c r="A24" s="68">
        <v>46082</v>
      </c>
      <c r="B24" s="7" t="s">
        <v>338</v>
      </c>
      <c r="C24" s="67"/>
      <c r="E24" s="7"/>
      <c r="G24" s="91"/>
      <c r="I24" s="91"/>
      <c r="J24" s="69"/>
      <c r="K24" s="79"/>
      <c r="L24" s="6"/>
    </row>
    <row r="25" spans="1:963" s="49" customFormat="1" x14ac:dyDescent="0.25">
      <c r="A25" s="81">
        <v>46054</v>
      </c>
      <c r="B25" s="7" t="s">
        <v>571</v>
      </c>
      <c r="C25" s="67"/>
      <c r="D25" s="6"/>
      <c r="E25" s="6"/>
      <c r="F25" s="6"/>
      <c r="G25" s="6"/>
      <c r="H25" s="6"/>
      <c r="I25" s="6"/>
      <c r="J25" s="24"/>
      <c r="K25" s="79"/>
      <c r="L25" s="6"/>
      <c r="M25" s="20"/>
      <c r="N25" s="20"/>
      <c r="O25" s="20"/>
      <c r="P25" s="6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0"/>
      <c r="SC25" s="20"/>
      <c r="SD25" s="20"/>
      <c r="SE25" s="20"/>
      <c r="SF25" s="20"/>
      <c r="SG25" s="20"/>
      <c r="SH25" s="20"/>
      <c r="SI25" s="20"/>
      <c r="SJ25" s="20"/>
      <c r="SK25" s="20"/>
      <c r="SL25" s="20"/>
      <c r="SM25" s="20"/>
      <c r="SN25" s="20"/>
      <c r="SO25" s="20"/>
      <c r="SP25" s="20"/>
      <c r="SQ25" s="20"/>
      <c r="SR25" s="20"/>
      <c r="SS25" s="20"/>
      <c r="ST25" s="20"/>
      <c r="SU25" s="20"/>
      <c r="SV25" s="20"/>
      <c r="SW25" s="20"/>
      <c r="SX25" s="20"/>
      <c r="SY25" s="20"/>
      <c r="SZ25" s="20"/>
      <c r="TA25" s="20"/>
      <c r="TB25" s="20"/>
      <c r="TC25" s="20"/>
      <c r="TD25" s="20"/>
      <c r="TE25" s="20"/>
      <c r="TF25" s="20"/>
      <c r="TG25" s="20"/>
      <c r="TH25" s="20"/>
      <c r="TI25" s="20"/>
      <c r="TJ25" s="20"/>
      <c r="TK25" s="20"/>
      <c r="TL25" s="20"/>
      <c r="TM25" s="20"/>
      <c r="TN25" s="20"/>
      <c r="TO25" s="20"/>
      <c r="TP25" s="20"/>
      <c r="TQ25" s="20"/>
      <c r="TR25" s="20"/>
      <c r="TS25" s="20"/>
      <c r="TT25" s="20"/>
      <c r="TU25" s="20"/>
      <c r="TV25" s="20"/>
      <c r="TW25" s="20"/>
      <c r="TX25" s="20"/>
      <c r="TY25" s="20"/>
      <c r="TZ25" s="20"/>
      <c r="UA25" s="20"/>
      <c r="UB25" s="20"/>
      <c r="UC25" s="20"/>
      <c r="UD25" s="20"/>
      <c r="UE25" s="20"/>
      <c r="UF25" s="20"/>
      <c r="UG25" s="20"/>
      <c r="UH25" s="20"/>
      <c r="UI25" s="20"/>
      <c r="UJ25" s="20"/>
      <c r="UK25" s="20"/>
      <c r="UL25" s="20"/>
      <c r="UM25" s="20"/>
      <c r="UN25" s="20"/>
      <c r="UO25" s="20"/>
      <c r="UP25" s="20"/>
      <c r="UQ25" s="20"/>
      <c r="UR25" s="20"/>
      <c r="US25" s="20"/>
      <c r="UT25" s="20"/>
      <c r="UU25" s="20"/>
      <c r="UV25" s="20"/>
      <c r="UW25" s="20"/>
      <c r="UX25" s="20"/>
      <c r="UY25" s="20"/>
      <c r="UZ25" s="20"/>
      <c r="VA25" s="20"/>
      <c r="VB25" s="20"/>
      <c r="VC25" s="20"/>
      <c r="VD25" s="20"/>
      <c r="VE25" s="20"/>
      <c r="VF25" s="20"/>
      <c r="VG25" s="20"/>
      <c r="VH25" s="20"/>
      <c r="VI25" s="20"/>
      <c r="VJ25" s="20"/>
      <c r="VK25" s="20"/>
      <c r="VL25" s="20"/>
      <c r="VM25" s="20"/>
      <c r="VN25" s="20"/>
      <c r="VO25" s="20"/>
      <c r="VP25" s="20"/>
      <c r="VQ25" s="20"/>
      <c r="VR25" s="20"/>
      <c r="VS25" s="20"/>
      <c r="VT25" s="20"/>
      <c r="VU25" s="20"/>
      <c r="VV25" s="20"/>
      <c r="VW25" s="20"/>
      <c r="VX25" s="20"/>
      <c r="VY25" s="20"/>
      <c r="VZ25" s="20"/>
      <c r="WA25" s="20"/>
      <c r="WB25" s="20"/>
      <c r="WC25" s="20"/>
      <c r="WD25" s="20"/>
      <c r="WE25" s="20"/>
      <c r="WF25" s="20"/>
      <c r="WG25" s="20"/>
      <c r="WH25" s="20"/>
      <c r="WI25" s="20"/>
      <c r="WJ25" s="20"/>
      <c r="WK25" s="20"/>
      <c r="WL25" s="20"/>
      <c r="WM25" s="20"/>
      <c r="WN25" s="20"/>
      <c r="WO25" s="20"/>
      <c r="WP25" s="20"/>
      <c r="WQ25" s="20"/>
      <c r="WR25" s="20"/>
      <c r="WS25" s="20"/>
      <c r="WT25" s="20"/>
      <c r="WU25" s="20"/>
      <c r="WV25" s="20"/>
      <c r="WW25" s="20"/>
      <c r="WX25" s="20"/>
      <c r="WY25" s="20"/>
      <c r="WZ25" s="20"/>
      <c r="XA25" s="20"/>
      <c r="XB25" s="20"/>
      <c r="XC25" s="20"/>
      <c r="XD25" s="20"/>
      <c r="XE25" s="20"/>
      <c r="XF25" s="20"/>
      <c r="XG25" s="20"/>
      <c r="XH25" s="20"/>
      <c r="XI25" s="20"/>
      <c r="XJ25" s="20"/>
      <c r="XK25" s="20"/>
      <c r="XL25" s="20"/>
      <c r="XM25" s="20"/>
      <c r="XN25" s="20"/>
      <c r="XO25" s="20"/>
      <c r="XP25" s="20"/>
      <c r="XQ25" s="20"/>
      <c r="XR25" s="20"/>
      <c r="XS25" s="20"/>
      <c r="XT25" s="20"/>
      <c r="XU25" s="20"/>
      <c r="XV25" s="20"/>
      <c r="XW25" s="20"/>
      <c r="XX25" s="20"/>
      <c r="XY25" s="20"/>
      <c r="XZ25" s="20"/>
      <c r="YA25" s="20"/>
      <c r="YB25" s="20"/>
      <c r="YC25" s="20"/>
      <c r="YD25" s="20"/>
      <c r="YE25" s="20"/>
      <c r="YF25" s="20"/>
      <c r="YG25" s="20"/>
      <c r="YH25" s="20"/>
      <c r="YI25" s="20"/>
      <c r="YJ25" s="20"/>
      <c r="YK25" s="20"/>
      <c r="YL25" s="20"/>
      <c r="YM25" s="20"/>
      <c r="YN25" s="20"/>
      <c r="YO25" s="20"/>
      <c r="YP25" s="20"/>
      <c r="YQ25" s="20"/>
      <c r="YR25" s="20"/>
      <c r="YS25" s="20"/>
      <c r="YT25" s="20"/>
      <c r="YU25" s="20"/>
      <c r="YV25" s="20"/>
      <c r="YW25" s="20"/>
      <c r="YX25" s="20"/>
      <c r="YY25" s="20"/>
      <c r="YZ25" s="20"/>
      <c r="ZA25" s="20"/>
      <c r="ZB25" s="20"/>
      <c r="ZC25" s="20"/>
      <c r="ZD25" s="20"/>
      <c r="ZE25" s="20"/>
      <c r="ZF25" s="20"/>
      <c r="ZG25" s="20"/>
      <c r="ZH25" s="20"/>
      <c r="ZI25" s="20"/>
      <c r="ZJ25" s="20"/>
      <c r="ZK25" s="20"/>
      <c r="ZL25" s="20"/>
      <c r="ZM25" s="20"/>
      <c r="ZN25" s="20"/>
      <c r="ZO25" s="20"/>
      <c r="ZP25" s="20"/>
      <c r="ZQ25" s="20"/>
      <c r="ZR25" s="20"/>
      <c r="ZS25" s="20"/>
      <c r="ZT25" s="20"/>
      <c r="ZU25" s="20"/>
      <c r="ZV25" s="20"/>
      <c r="ZW25" s="20"/>
      <c r="ZX25" s="20"/>
      <c r="ZY25" s="20"/>
      <c r="ZZ25" s="20"/>
      <c r="AAA25" s="20"/>
      <c r="AAB25" s="20"/>
      <c r="AAC25" s="20"/>
      <c r="AAD25" s="20"/>
      <c r="AAE25" s="20"/>
      <c r="AAF25" s="20"/>
      <c r="AAG25" s="20"/>
      <c r="AAH25" s="20"/>
      <c r="AAI25" s="20"/>
      <c r="AAJ25" s="20"/>
      <c r="AAK25" s="20"/>
      <c r="AAL25" s="20"/>
      <c r="AAM25" s="20"/>
      <c r="AAN25" s="20"/>
      <c r="AAO25" s="20"/>
      <c r="AAP25" s="20"/>
      <c r="AAQ25" s="20"/>
      <c r="AAR25" s="20"/>
      <c r="AAS25" s="20"/>
      <c r="AAT25" s="20"/>
      <c r="AAU25" s="20"/>
      <c r="AAV25" s="20"/>
      <c r="AAW25" s="20"/>
      <c r="AAX25" s="20"/>
      <c r="AAY25" s="20"/>
      <c r="AAZ25" s="20"/>
      <c r="ABA25" s="20"/>
      <c r="ABB25" s="20"/>
      <c r="ABC25" s="20"/>
      <c r="ABD25" s="20"/>
      <c r="ABE25" s="20"/>
      <c r="ABF25" s="20"/>
      <c r="ABG25" s="20"/>
      <c r="ABH25" s="20"/>
      <c r="ABI25" s="20"/>
      <c r="ABJ25" s="20"/>
      <c r="ABK25" s="20"/>
      <c r="ABL25" s="20"/>
      <c r="ABM25" s="20"/>
      <c r="ABN25" s="20"/>
      <c r="ABO25" s="20"/>
      <c r="ABP25" s="20"/>
      <c r="ABQ25" s="20"/>
      <c r="ABR25" s="20"/>
      <c r="ABS25" s="20"/>
      <c r="ABT25" s="20"/>
      <c r="ABU25" s="20"/>
      <c r="ABV25" s="20"/>
      <c r="ABW25" s="20"/>
      <c r="ABX25" s="20"/>
      <c r="ABY25" s="20"/>
      <c r="ABZ25" s="20"/>
      <c r="ACA25" s="20"/>
      <c r="ACB25" s="20"/>
      <c r="ACC25" s="20"/>
      <c r="ACD25" s="20"/>
      <c r="ACE25" s="20"/>
      <c r="ACF25" s="20"/>
      <c r="ACG25" s="20"/>
      <c r="ACH25" s="20"/>
      <c r="ACI25" s="20"/>
      <c r="ACJ25" s="20"/>
      <c r="ACK25" s="20"/>
      <c r="ACL25" s="20"/>
      <c r="ACM25" s="20"/>
      <c r="ACN25" s="20"/>
      <c r="ACO25" s="20"/>
      <c r="ACP25" s="20"/>
      <c r="ACQ25" s="20"/>
      <c r="ACR25" s="20"/>
      <c r="ACS25" s="20"/>
      <c r="ACT25" s="20"/>
      <c r="ACU25" s="20"/>
      <c r="ACV25" s="20"/>
      <c r="ACW25" s="20"/>
      <c r="ACX25" s="20"/>
      <c r="ACY25" s="20"/>
      <c r="ACZ25" s="20"/>
      <c r="ADA25" s="20"/>
      <c r="ADB25" s="20"/>
      <c r="ADC25" s="20"/>
      <c r="ADD25" s="20"/>
      <c r="ADE25" s="20"/>
      <c r="ADF25" s="20"/>
      <c r="ADG25" s="20"/>
      <c r="ADH25" s="20"/>
      <c r="ADI25" s="20"/>
      <c r="ADJ25" s="20"/>
      <c r="ADK25" s="20"/>
      <c r="ADL25" s="20"/>
      <c r="ADM25" s="20"/>
      <c r="ADN25" s="20"/>
      <c r="ADO25" s="20"/>
      <c r="ADP25" s="20"/>
      <c r="ADQ25" s="20"/>
      <c r="ADR25" s="20"/>
      <c r="ADS25" s="20"/>
      <c r="ADT25" s="20"/>
      <c r="ADU25" s="20"/>
      <c r="ADV25" s="20"/>
      <c r="ADW25" s="20"/>
      <c r="ADX25" s="20"/>
      <c r="ADY25" s="20"/>
      <c r="ADZ25" s="20"/>
      <c r="AEA25" s="20"/>
      <c r="AEB25" s="20"/>
      <c r="AEC25" s="20"/>
      <c r="AED25" s="20"/>
      <c r="AEE25" s="20"/>
      <c r="AEF25" s="20"/>
      <c r="AEG25" s="20"/>
      <c r="AEH25" s="20"/>
      <c r="AEI25" s="20"/>
      <c r="AEJ25" s="20"/>
      <c r="AEK25" s="20"/>
      <c r="AEL25" s="20"/>
      <c r="AEM25" s="20"/>
      <c r="AEN25" s="20"/>
      <c r="AEO25" s="20"/>
      <c r="AEP25" s="20"/>
      <c r="AEQ25" s="20"/>
      <c r="AER25" s="20"/>
      <c r="AES25" s="20"/>
      <c r="AET25" s="20"/>
      <c r="AEU25" s="20"/>
      <c r="AEV25" s="20"/>
      <c r="AEW25" s="20"/>
      <c r="AEX25" s="20"/>
      <c r="AEY25" s="20"/>
      <c r="AEZ25" s="20"/>
      <c r="AFA25" s="20"/>
      <c r="AFB25" s="20"/>
      <c r="AFC25" s="20"/>
      <c r="AFD25" s="20"/>
      <c r="AFE25" s="20"/>
      <c r="AFF25" s="20"/>
      <c r="AFG25" s="20"/>
      <c r="AFH25" s="20"/>
      <c r="AFI25" s="20"/>
      <c r="AFJ25" s="20"/>
      <c r="AFK25" s="20"/>
      <c r="AFL25" s="20"/>
      <c r="AFM25" s="20"/>
      <c r="AFN25" s="20"/>
      <c r="AFO25" s="20"/>
      <c r="AFP25" s="20"/>
      <c r="AFQ25" s="20"/>
      <c r="AFR25" s="20"/>
      <c r="AFS25" s="20"/>
      <c r="AFT25" s="20"/>
      <c r="AFU25" s="20"/>
      <c r="AFV25" s="20"/>
      <c r="AFW25" s="20"/>
      <c r="AFX25" s="20"/>
      <c r="AFY25" s="20"/>
      <c r="AFZ25" s="20"/>
      <c r="AGA25" s="20"/>
      <c r="AGB25" s="20"/>
      <c r="AGC25" s="20"/>
      <c r="AGD25" s="20"/>
      <c r="AGE25" s="20"/>
      <c r="AGF25" s="20"/>
      <c r="AGG25" s="20"/>
      <c r="AGH25" s="20"/>
      <c r="AGI25" s="20"/>
      <c r="AGJ25" s="20"/>
      <c r="AGK25" s="20"/>
      <c r="AGL25" s="20"/>
      <c r="AGM25" s="20"/>
      <c r="AGN25" s="20"/>
      <c r="AGO25" s="20"/>
      <c r="AGP25" s="20"/>
      <c r="AGQ25" s="20"/>
      <c r="AGR25" s="20"/>
      <c r="AGS25" s="20"/>
      <c r="AGT25" s="20"/>
      <c r="AGU25" s="20"/>
      <c r="AGV25" s="20"/>
      <c r="AGW25" s="20"/>
      <c r="AGX25" s="20"/>
      <c r="AGY25" s="20"/>
      <c r="AGZ25" s="20"/>
      <c r="AHA25" s="20"/>
      <c r="AHB25" s="20"/>
      <c r="AHC25" s="20"/>
      <c r="AHD25" s="20"/>
      <c r="AHE25" s="20"/>
      <c r="AHF25" s="20"/>
      <c r="AHG25" s="20"/>
      <c r="AHH25" s="20"/>
      <c r="AHI25" s="20"/>
      <c r="AHJ25" s="20"/>
      <c r="AHK25" s="20"/>
      <c r="AHL25" s="20"/>
      <c r="AHM25" s="20"/>
      <c r="AHN25" s="20"/>
      <c r="AHO25" s="20"/>
      <c r="AHP25" s="20"/>
      <c r="AHQ25" s="20"/>
      <c r="AHR25" s="20"/>
      <c r="AHS25" s="20"/>
      <c r="AHT25" s="20"/>
      <c r="AHU25" s="20"/>
      <c r="AHV25" s="20"/>
      <c r="AHW25" s="20"/>
      <c r="AHX25" s="20"/>
      <c r="AHY25" s="20"/>
      <c r="AHZ25" s="20"/>
      <c r="AIA25" s="20"/>
      <c r="AIB25" s="20"/>
      <c r="AIC25" s="20"/>
      <c r="AID25" s="20"/>
      <c r="AIE25" s="20"/>
      <c r="AIF25" s="20"/>
      <c r="AIG25" s="20"/>
      <c r="AIH25" s="20"/>
      <c r="AII25" s="20"/>
      <c r="AIJ25" s="20"/>
      <c r="AIK25" s="20"/>
      <c r="AIL25" s="20"/>
      <c r="AIM25" s="20"/>
      <c r="AIN25" s="20"/>
      <c r="AIO25" s="20"/>
      <c r="AIP25" s="20"/>
      <c r="AIQ25" s="20"/>
      <c r="AIR25" s="20"/>
      <c r="AIS25" s="20"/>
      <c r="AIT25" s="20"/>
      <c r="AIU25" s="20"/>
      <c r="AIV25" s="20"/>
      <c r="AIW25" s="20"/>
      <c r="AIX25" s="20"/>
      <c r="AIY25" s="20"/>
      <c r="AIZ25" s="20"/>
      <c r="AJA25" s="20"/>
      <c r="AJB25" s="20"/>
      <c r="AJC25" s="20"/>
      <c r="AJD25" s="20"/>
      <c r="AJE25" s="20"/>
      <c r="AJF25" s="20"/>
      <c r="AJG25" s="20"/>
      <c r="AJH25" s="20"/>
      <c r="AJI25" s="20"/>
      <c r="AJJ25" s="20"/>
      <c r="AJK25" s="20"/>
      <c r="AJL25" s="20"/>
      <c r="AJM25" s="20"/>
      <c r="AJN25" s="20"/>
      <c r="AJO25" s="20"/>
      <c r="AJP25" s="20"/>
      <c r="AJQ25" s="20"/>
      <c r="AJR25" s="20"/>
      <c r="AJS25" s="20"/>
      <c r="AJT25" s="20"/>
      <c r="AJU25" s="20"/>
      <c r="AJV25" s="20"/>
      <c r="AJW25" s="20"/>
      <c r="AJX25" s="20"/>
      <c r="AJY25" s="20"/>
      <c r="AJZ25" s="20"/>
      <c r="AKA25" s="20"/>
    </row>
    <row r="26" spans="1:963" x14ac:dyDescent="0.25">
      <c r="A26" s="68">
        <v>46093</v>
      </c>
      <c r="B26" s="107" t="s">
        <v>588</v>
      </c>
      <c r="C26" s="67"/>
      <c r="J26" s="69"/>
      <c r="K26" s="79"/>
      <c r="L26" s="6"/>
    </row>
    <row r="27" spans="1:963" s="49" customFormat="1" x14ac:dyDescent="0.25">
      <c r="A27" s="68">
        <v>46087</v>
      </c>
      <c r="B27" s="7" t="s">
        <v>562</v>
      </c>
      <c r="C27" s="67"/>
      <c r="D27" s="6"/>
      <c r="E27" s="6"/>
      <c r="F27" s="6"/>
      <c r="G27" s="6"/>
      <c r="H27" s="6"/>
      <c r="I27" s="6"/>
      <c r="J27" s="69"/>
      <c r="K27" s="79"/>
      <c r="L27" s="14"/>
      <c r="M27" s="20"/>
      <c r="N27" s="20"/>
      <c r="O27" s="20"/>
      <c r="P27" s="6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0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0"/>
      <c r="QK27" s="20"/>
      <c r="QL27" s="20"/>
      <c r="QM27" s="20"/>
      <c r="QN27" s="20"/>
      <c r="QO27" s="20"/>
      <c r="QP27" s="20"/>
      <c r="QQ27" s="20"/>
      <c r="QR27" s="20"/>
      <c r="QS27" s="20"/>
      <c r="QT27" s="20"/>
      <c r="QU27" s="20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0"/>
      <c r="SC27" s="20"/>
      <c r="SD27" s="20"/>
      <c r="SE27" s="20"/>
      <c r="SF27" s="20"/>
      <c r="SG27" s="20"/>
      <c r="SH27" s="20"/>
      <c r="SI27" s="20"/>
      <c r="SJ27" s="20"/>
      <c r="SK27" s="20"/>
      <c r="SL27" s="20"/>
      <c r="SM27" s="20"/>
      <c r="SN27" s="20"/>
      <c r="SO27" s="20"/>
      <c r="SP27" s="20"/>
      <c r="SQ27" s="20"/>
      <c r="SR27" s="20"/>
      <c r="SS27" s="20"/>
      <c r="ST27" s="20"/>
      <c r="SU27" s="20"/>
      <c r="SV27" s="20"/>
      <c r="SW27" s="20"/>
      <c r="SX27" s="20"/>
      <c r="SY27" s="20"/>
      <c r="SZ27" s="20"/>
      <c r="TA27" s="20"/>
      <c r="TB27" s="20"/>
      <c r="TC27" s="20"/>
      <c r="TD27" s="20"/>
      <c r="TE27" s="20"/>
      <c r="TF27" s="20"/>
      <c r="TG27" s="20"/>
      <c r="TH27" s="20"/>
      <c r="TI27" s="20"/>
      <c r="TJ27" s="20"/>
      <c r="TK27" s="20"/>
      <c r="TL27" s="20"/>
      <c r="TM27" s="20"/>
      <c r="TN27" s="20"/>
      <c r="TO27" s="20"/>
      <c r="TP27" s="20"/>
      <c r="TQ27" s="20"/>
      <c r="TR27" s="20"/>
      <c r="TS27" s="20"/>
      <c r="TT27" s="20"/>
      <c r="TU27" s="20"/>
      <c r="TV27" s="20"/>
      <c r="TW27" s="20"/>
      <c r="TX27" s="20"/>
      <c r="TY27" s="20"/>
      <c r="TZ27" s="20"/>
      <c r="UA27" s="20"/>
      <c r="UB27" s="20"/>
      <c r="UC27" s="20"/>
      <c r="UD27" s="20"/>
      <c r="UE27" s="20"/>
      <c r="UF27" s="20"/>
      <c r="UG27" s="20"/>
      <c r="UH27" s="20"/>
      <c r="UI27" s="20"/>
      <c r="UJ27" s="20"/>
      <c r="UK27" s="20"/>
      <c r="UL27" s="20"/>
      <c r="UM27" s="20"/>
      <c r="UN27" s="20"/>
      <c r="UO27" s="20"/>
      <c r="UP27" s="20"/>
      <c r="UQ27" s="20"/>
      <c r="UR27" s="20"/>
      <c r="US27" s="20"/>
      <c r="UT27" s="20"/>
      <c r="UU27" s="20"/>
      <c r="UV27" s="20"/>
      <c r="UW27" s="20"/>
      <c r="UX27" s="20"/>
      <c r="UY27" s="20"/>
      <c r="UZ27" s="20"/>
      <c r="VA27" s="20"/>
      <c r="VB27" s="20"/>
      <c r="VC27" s="20"/>
      <c r="VD27" s="20"/>
      <c r="VE27" s="20"/>
      <c r="VF27" s="20"/>
      <c r="VG27" s="20"/>
      <c r="VH27" s="20"/>
      <c r="VI27" s="20"/>
      <c r="VJ27" s="20"/>
      <c r="VK27" s="20"/>
      <c r="VL27" s="20"/>
      <c r="VM27" s="20"/>
      <c r="VN27" s="20"/>
      <c r="VO27" s="20"/>
      <c r="VP27" s="20"/>
      <c r="VQ27" s="20"/>
      <c r="VR27" s="20"/>
      <c r="VS27" s="20"/>
      <c r="VT27" s="20"/>
      <c r="VU27" s="20"/>
      <c r="VV27" s="20"/>
      <c r="VW27" s="20"/>
      <c r="VX27" s="20"/>
      <c r="VY27" s="20"/>
      <c r="VZ27" s="20"/>
      <c r="WA27" s="20"/>
      <c r="WB27" s="20"/>
      <c r="WC27" s="20"/>
      <c r="WD27" s="20"/>
      <c r="WE27" s="20"/>
      <c r="WF27" s="20"/>
      <c r="WG27" s="20"/>
      <c r="WH27" s="20"/>
      <c r="WI27" s="20"/>
      <c r="WJ27" s="20"/>
      <c r="WK27" s="20"/>
      <c r="WL27" s="20"/>
      <c r="WM27" s="20"/>
      <c r="WN27" s="20"/>
      <c r="WO27" s="20"/>
      <c r="WP27" s="20"/>
      <c r="WQ27" s="20"/>
      <c r="WR27" s="20"/>
      <c r="WS27" s="20"/>
      <c r="WT27" s="20"/>
      <c r="WU27" s="20"/>
      <c r="WV27" s="20"/>
      <c r="WW27" s="20"/>
      <c r="WX27" s="20"/>
      <c r="WY27" s="20"/>
      <c r="WZ27" s="20"/>
      <c r="XA27" s="20"/>
      <c r="XB27" s="20"/>
      <c r="XC27" s="20"/>
      <c r="XD27" s="20"/>
      <c r="XE27" s="20"/>
      <c r="XF27" s="20"/>
      <c r="XG27" s="20"/>
      <c r="XH27" s="20"/>
      <c r="XI27" s="20"/>
      <c r="XJ27" s="20"/>
      <c r="XK27" s="20"/>
      <c r="XL27" s="20"/>
      <c r="XM27" s="20"/>
      <c r="XN27" s="20"/>
      <c r="XO27" s="20"/>
      <c r="XP27" s="20"/>
      <c r="XQ27" s="20"/>
      <c r="XR27" s="20"/>
      <c r="XS27" s="20"/>
      <c r="XT27" s="20"/>
      <c r="XU27" s="20"/>
      <c r="XV27" s="20"/>
      <c r="XW27" s="20"/>
      <c r="XX27" s="20"/>
      <c r="XY27" s="20"/>
      <c r="XZ27" s="20"/>
      <c r="YA27" s="20"/>
      <c r="YB27" s="20"/>
      <c r="YC27" s="20"/>
      <c r="YD27" s="20"/>
      <c r="YE27" s="20"/>
      <c r="YF27" s="20"/>
      <c r="YG27" s="20"/>
      <c r="YH27" s="20"/>
      <c r="YI27" s="20"/>
      <c r="YJ27" s="20"/>
      <c r="YK27" s="20"/>
      <c r="YL27" s="20"/>
      <c r="YM27" s="20"/>
      <c r="YN27" s="20"/>
      <c r="YO27" s="20"/>
      <c r="YP27" s="20"/>
      <c r="YQ27" s="20"/>
      <c r="YR27" s="20"/>
      <c r="YS27" s="20"/>
      <c r="YT27" s="20"/>
      <c r="YU27" s="20"/>
      <c r="YV27" s="20"/>
      <c r="YW27" s="20"/>
      <c r="YX27" s="20"/>
      <c r="YY27" s="20"/>
      <c r="YZ27" s="20"/>
      <c r="ZA27" s="20"/>
      <c r="ZB27" s="20"/>
      <c r="ZC27" s="20"/>
      <c r="ZD27" s="20"/>
      <c r="ZE27" s="20"/>
      <c r="ZF27" s="20"/>
      <c r="ZG27" s="20"/>
      <c r="ZH27" s="20"/>
      <c r="ZI27" s="20"/>
      <c r="ZJ27" s="20"/>
      <c r="ZK27" s="20"/>
      <c r="ZL27" s="20"/>
      <c r="ZM27" s="20"/>
      <c r="ZN27" s="20"/>
      <c r="ZO27" s="20"/>
      <c r="ZP27" s="20"/>
      <c r="ZQ27" s="20"/>
      <c r="ZR27" s="20"/>
      <c r="ZS27" s="20"/>
      <c r="ZT27" s="20"/>
      <c r="ZU27" s="20"/>
      <c r="ZV27" s="20"/>
      <c r="ZW27" s="20"/>
      <c r="ZX27" s="20"/>
      <c r="ZY27" s="20"/>
      <c r="ZZ27" s="20"/>
      <c r="AAA27" s="20"/>
      <c r="AAB27" s="20"/>
      <c r="AAC27" s="20"/>
      <c r="AAD27" s="20"/>
      <c r="AAE27" s="20"/>
      <c r="AAF27" s="20"/>
      <c r="AAG27" s="20"/>
      <c r="AAH27" s="20"/>
      <c r="AAI27" s="20"/>
      <c r="AAJ27" s="20"/>
      <c r="AAK27" s="20"/>
      <c r="AAL27" s="20"/>
      <c r="AAM27" s="20"/>
      <c r="AAN27" s="20"/>
      <c r="AAO27" s="20"/>
      <c r="AAP27" s="20"/>
      <c r="AAQ27" s="20"/>
      <c r="AAR27" s="20"/>
      <c r="AAS27" s="20"/>
      <c r="AAT27" s="20"/>
      <c r="AAU27" s="20"/>
      <c r="AAV27" s="20"/>
      <c r="AAW27" s="20"/>
      <c r="AAX27" s="20"/>
      <c r="AAY27" s="20"/>
      <c r="AAZ27" s="20"/>
      <c r="ABA27" s="20"/>
      <c r="ABB27" s="20"/>
      <c r="ABC27" s="20"/>
      <c r="ABD27" s="20"/>
      <c r="ABE27" s="20"/>
      <c r="ABF27" s="20"/>
      <c r="ABG27" s="20"/>
      <c r="ABH27" s="20"/>
      <c r="ABI27" s="20"/>
      <c r="ABJ27" s="20"/>
      <c r="ABK27" s="20"/>
      <c r="ABL27" s="20"/>
      <c r="ABM27" s="20"/>
      <c r="ABN27" s="20"/>
      <c r="ABO27" s="20"/>
      <c r="ABP27" s="20"/>
      <c r="ABQ27" s="20"/>
      <c r="ABR27" s="20"/>
      <c r="ABS27" s="20"/>
      <c r="ABT27" s="20"/>
      <c r="ABU27" s="20"/>
      <c r="ABV27" s="20"/>
      <c r="ABW27" s="20"/>
      <c r="ABX27" s="20"/>
      <c r="ABY27" s="20"/>
      <c r="ABZ27" s="20"/>
      <c r="ACA27" s="20"/>
      <c r="ACB27" s="20"/>
      <c r="ACC27" s="20"/>
      <c r="ACD27" s="20"/>
      <c r="ACE27" s="20"/>
      <c r="ACF27" s="20"/>
      <c r="ACG27" s="20"/>
      <c r="ACH27" s="20"/>
      <c r="ACI27" s="20"/>
      <c r="ACJ27" s="20"/>
      <c r="ACK27" s="20"/>
      <c r="ACL27" s="20"/>
      <c r="ACM27" s="20"/>
      <c r="ACN27" s="20"/>
      <c r="ACO27" s="20"/>
      <c r="ACP27" s="20"/>
      <c r="ACQ27" s="20"/>
      <c r="ACR27" s="20"/>
      <c r="ACS27" s="20"/>
      <c r="ACT27" s="20"/>
      <c r="ACU27" s="20"/>
      <c r="ACV27" s="20"/>
      <c r="ACW27" s="20"/>
      <c r="ACX27" s="20"/>
      <c r="ACY27" s="20"/>
      <c r="ACZ27" s="20"/>
      <c r="ADA27" s="20"/>
      <c r="ADB27" s="20"/>
      <c r="ADC27" s="20"/>
      <c r="ADD27" s="20"/>
      <c r="ADE27" s="20"/>
      <c r="ADF27" s="20"/>
      <c r="ADG27" s="20"/>
      <c r="ADH27" s="20"/>
      <c r="ADI27" s="20"/>
      <c r="ADJ27" s="20"/>
      <c r="ADK27" s="20"/>
      <c r="ADL27" s="20"/>
      <c r="ADM27" s="20"/>
      <c r="ADN27" s="20"/>
      <c r="ADO27" s="20"/>
      <c r="ADP27" s="20"/>
      <c r="ADQ27" s="20"/>
      <c r="ADR27" s="20"/>
      <c r="ADS27" s="20"/>
      <c r="ADT27" s="20"/>
      <c r="ADU27" s="20"/>
      <c r="ADV27" s="20"/>
      <c r="ADW27" s="20"/>
      <c r="ADX27" s="20"/>
      <c r="ADY27" s="20"/>
      <c r="ADZ27" s="20"/>
      <c r="AEA27" s="20"/>
      <c r="AEB27" s="20"/>
      <c r="AEC27" s="20"/>
      <c r="AED27" s="20"/>
      <c r="AEE27" s="20"/>
      <c r="AEF27" s="20"/>
      <c r="AEG27" s="20"/>
      <c r="AEH27" s="20"/>
      <c r="AEI27" s="20"/>
      <c r="AEJ27" s="20"/>
      <c r="AEK27" s="20"/>
      <c r="AEL27" s="20"/>
      <c r="AEM27" s="20"/>
      <c r="AEN27" s="20"/>
      <c r="AEO27" s="20"/>
      <c r="AEP27" s="20"/>
      <c r="AEQ27" s="20"/>
      <c r="AER27" s="20"/>
      <c r="AES27" s="20"/>
      <c r="AET27" s="20"/>
      <c r="AEU27" s="20"/>
      <c r="AEV27" s="20"/>
      <c r="AEW27" s="20"/>
      <c r="AEX27" s="20"/>
      <c r="AEY27" s="20"/>
      <c r="AEZ27" s="20"/>
      <c r="AFA27" s="20"/>
      <c r="AFB27" s="20"/>
      <c r="AFC27" s="20"/>
      <c r="AFD27" s="20"/>
      <c r="AFE27" s="20"/>
      <c r="AFF27" s="20"/>
      <c r="AFG27" s="20"/>
      <c r="AFH27" s="20"/>
      <c r="AFI27" s="20"/>
      <c r="AFJ27" s="20"/>
      <c r="AFK27" s="20"/>
      <c r="AFL27" s="20"/>
      <c r="AFM27" s="20"/>
      <c r="AFN27" s="20"/>
      <c r="AFO27" s="20"/>
      <c r="AFP27" s="20"/>
      <c r="AFQ27" s="20"/>
      <c r="AFR27" s="20"/>
      <c r="AFS27" s="20"/>
      <c r="AFT27" s="20"/>
      <c r="AFU27" s="20"/>
      <c r="AFV27" s="20"/>
      <c r="AFW27" s="20"/>
      <c r="AFX27" s="20"/>
      <c r="AFY27" s="20"/>
      <c r="AFZ27" s="20"/>
      <c r="AGA27" s="20"/>
      <c r="AGB27" s="20"/>
      <c r="AGC27" s="20"/>
      <c r="AGD27" s="20"/>
      <c r="AGE27" s="20"/>
      <c r="AGF27" s="20"/>
      <c r="AGG27" s="20"/>
      <c r="AGH27" s="20"/>
      <c r="AGI27" s="20"/>
      <c r="AGJ27" s="20"/>
      <c r="AGK27" s="20"/>
      <c r="AGL27" s="20"/>
      <c r="AGM27" s="20"/>
      <c r="AGN27" s="20"/>
      <c r="AGO27" s="20"/>
      <c r="AGP27" s="20"/>
      <c r="AGQ27" s="20"/>
      <c r="AGR27" s="20"/>
      <c r="AGS27" s="20"/>
      <c r="AGT27" s="20"/>
      <c r="AGU27" s="20"/>
      <c r="AGV27" s="20"/>
      <c r="AGW27" s="20"/>
      <c r="AGX27" s="20"/>
      <c r="AGY27" s="20"/>
      <c r="AGZ27" s="20"/>
      <c r="AHA27" s="20"/>
      <c r="AHB27" s="20"/>
      <c r="AHC27" s="20"/>
      <c r="AHD27" s="20"/>
      <c r="AHE27" s="20"/>
      <c r="AHF27" s="20"/>
      <c r="AHG27" s="20"/>
      <c r="AHH27" s="20"/>
      <c r="AHI27" s="20"/>
      <c r="AHJ27" s="20"/>
      <c r="AHK27" s="20"/>
      <c r="AHL27" s="20"/>
      <c r="AHM27" s="20"/>
      <c r="AHN27" s="20"/>
      <c r="AHO27" s="20"/>
      <c r="AHP27" s="20"/>
      <c r="AHQ27" s="20"/>
      <c r="AHR27" s="20"/>
      <c r="AHS27" s="20"/>
      <c r="AHT27" s="20"/>
      <c r="AHU27" s="20"/>
      <c r="AHV27" s="20"/>
      <c r="AHW27" s="20"/>
      <c r="AHX27" s="20"/>
      <c r="AHY27" s="20"/>
      <c r="AHZ27" s="20"/>
      <c r="AIA27" s="20"/>
      <c r="AIB27" s="20"/>
      <c r="AIC27" s="20"/>
      <c r="AID27" s="20"/>
      <c r="AIE27" s="20"/>
      <c r="AIF27" s="20"/>
      <c r="AIG27" s="20"/>
      <c r="AIH27" s="20"/>
      <c r="AII27" s="20"/>
      <c r="AIJ27" s="20"/>
      <c r="AIK27" s="20"/>
      <c r="AIL27" s="20"/>
      <c r="AIM27" s="20"/>
      <c r="AIN27" s="20"/>
      <c r="AIO27" s="20"/>
      <c r="AIP27" s="20"/>
      <c r="AIQ27" s="20"/>
      <c r="AIR27" s="20"/>
      <c r="AIS27" s="20"/>
      <c r="AIT27" s="20"/>
      <c r="AIU27" s="20"/>
      <c r="AIV27" s="20"/>
      <c r="AIW27" s="20"/>
      <c r="AIX27" s="20"/>
      <c r="AIY27" s="20"/>
      <c r="AIZ27" s="20"/>
      <c r="AJA27" s="20"/>
      <c r="AJB27" s="20"/>
      <c r="AJC27" s="20"/>
      <c r="AJD27" s="20"/>
      <c r="AJE27" s="20"/>
      <c r="AJF27" s="20"/>
      <c r="AJG27" s="20"/>
      <c r="AJH27" s="20"/>
      <c r="AJI27" s="20"/>
      <c r="AJJ27" s="20"/>
      <c r="AJK27" s="20"/>
      <c r="AJL27" s="20"/>
      <c r="AJM27" s="20"/>
      <c r="AJN27" s="20"/>
      <c r="AJO27" s="20"/>
      <c r="AJP27" s="20"/>
      <c r="AJQ27" s="20"/>
      <c r="AJR27" s="20"/>
      <c r="AJS27" s="20"/>
      <c r="AJT27" s="20"/>
      <c r="AJU27" s="20"/>
      <c r="AJV27" s="20"/>
      <c r="AJW27" s="20"/>
      <c r="AJX27" s="20"/>
      <c r="AJY27" s="20"/>
      <c r="AJZ27" s="20"/>
      <c r="AKA27" s="20"/>
    </row>
    <row r="28" spans="1:963" x14ac:dyDescent="0.25">
      <c r="A28" s="68">
        <v>46084</v>
      </c>
      <c r="B28" s="65" t="s">
        <v>527</v>
      </c>
      <c r="C28" s="75"/>
      <c r="J28" s="70"/>
      <c r="K28" s="88"/>
      <c r="L28" s="6"/>
    </row>
    <row r="29" spans="1:963" x14ac:dyDescent="0.25">
      <c r="A29" s="63" t="s">
        <v>542</v>
      </c>
      <c r="B29" s="66" t="s">
        <v>538</v>
      </c>
      <c r="C29" s="74"/>
      <c r="J29" s="70"/>
      <c r="K29" s="88"/>
      <c r="L29" s="66"/>
    </row>
    <row r="30" spans="1:963" x14ac:dyDescent="0.25">
      <c r="A30" s="63" t="s">
        <v>542</v>
      </c>
      <c r="B30" s="66" t="s">
        <v>533</v>
      </c>
      <c r="C30" s="74"/>
      <c r="J30" s="70"/>
      <c r="K30" s="88"/>
      <c r="L30" s="66"/>
    </row>
    <row r="31" spans="1:963" x14ac:dyDescent="0.25">
      <c r="A31" s="63" t="s">
        <v>542</v>
      </c>
      <c r="B31" s="66" t="s">
        <v>543</v>
      </c>
      <c r="C31" s="74"/>
      <c r="J31" s="70"/>
      <c r="K31" s="88"/>
      <c r="L31" s="66"/>
    </row>
    <row r="32" spans="1:963" x14ac:dyDescent="0.25">
      <c r="A32" s="63" t="s">
        <v>542</v>
      </c>
      <c r="B32" s="66" t="s">
        <v>544</v>
      </c>
      <c r="C32" s="74"/>
      <c r="D32" s="66"/>
      <c r="E32" s="66"/>
      <c r="F32" s="66"/>
      <c r="G32" s="66"/>
      <c r="H32" s="66"/>
      <c r="I32" s="66"/>
      <c r="J32" s="70"/>
      <c r="K32" s="88"/>
      <c r="L32" s="66"/>
    </row>
    <row r="33" spans="1:12" x14ac:dyDescent="0.25">
      <c r="A33" s="63" t="s">
        <v>542</v>
      </c>
      <c r="B33" s="66" t="s">
        <v>535</v>
      </c>
      <c r="C33" s="74"/>
      <c r="D33" s="66"/>
      <c r="E33" s="66"/>
      <c r="F33" s="66"/>
      <c r="G33" s="66"/>
      <c r="H33" s="66"/>
      <c r="I33" s="66"/>
      <c r="J33" s="70"/>
      <c r="K33" s="88"/>
      <c r="L33" s="66"/>
    </row>
    <row r="34" spans="1:12" x14ac:dyDescent="0.25">
      <c r="A34" s="63" t="s">
        <v>542</v>
      </c>
      <c r="B34" s="66" t="s">
        <v>532</v>
      </c>
      <c r="C34" s="74"/>
      <c r="D34" s="66"/>
      <c r="E34" s="66"/>
      <c r="F34" s="66"/>
      <c r="G34" s="66"/>
      <c r="H34" s="66"/>
      <c r="I34" s="66"/>
      <c r="J34" s="70"/>
      <c r="K34" s="88"/>
      <c r="L34" s="66"/>
    </row>
    <row r="35" spans="1:12" x14ac:dyDescent="0.25">
      <c r="A35" s="71">
        <v>414978</v>
      </c>
      <c r="B35" s="66" t="s">
        <v>340</v>
      </c>
      <c r="C35" s="74"/>
      <c r="D35" s="66"/>
      <c r="E35" s="66"/>
      <c r="F35" s="66"/>
      <c r="G35" s="66"/>
      <c r="H35" s="66"/>
      <c r="I35" s="66"/>
      <c r="J35" s="70"/>
      <c r="K35" s="88"/>
      <c r="L35" s="66"/>
    </row>
    <row r="36" spans="1:12" x14ac:dyDescent="0.25">
      <c r="A36" s="71">
        <v>46092</v>
      </c>
      <c r="B36" s="99" t="s">
        <v>583</v>
      </c>
      <c r="C36" s="74"/>
      <c r="D36" s="66"/>
      <c r="E36" s="66"/>
      <c r="F36" s="66"/>
      <c r="G36" s="66"/>
      <c r="H36" s="66"/>
      <c r="I36" s="66"/>
      <c r="J36" s="70"/>
      <c r="K36" s="88"/>
      <c r="L36" s="66"/>
    </row>
    <row r="37" spans="1:12" x14ac:dyDescent="0.25">
      <c r="A37" s="71">
        <v>46092</v>
      </c>
      <c r="B37" s="99" t="s">
        <v>582</v>
      </c>
      <c r="C37" s="74"/>
      <c r="D37" s="66"/>
      <c r="E37" s="66"/>
      <c r="F37" s="66"/>
      <c r="G37" s="66"/>
      <c r="H37" s="66"/>
      <c r="I37" s="66"/>
      <c r="J37" s="70"/>
      <c r="K37" s="88"/>
      <c r="L37" s="66"/>
    </row>
    <row r="38" spans="1:12" x14ac:dyDescent="0.25">
      <c r="A38" s="71">
        <v>46091</v>
      </c>
      <c r="B38" s="66" t="s">
        <v>580</v>
      </c>
      <c r="C38" s="74"/>
      <c r="D38" s="66"/>
      <c r="E38" s="66"/>
      <c r="F38" s="66"/>
      <c r="G38" s="66"/>
      <c r="H38" s="66"/>
      <c r="I38" s="66"/>
      <c r="J38" s="70"/>
      <c r="K38" s="88"/>
      <c r="L38" s="66"/>
    </row>
    <row r="39" spans="1:12" x14ac:dyDescent="0.25">
      <c r="A39" s="71">
        <v>46090</v>
      </c>
      <c r="B39" s="66" t="s">
        <v>578</v>
      </c>
      <c r="C39" s="74"/>
      <c r="D39" s="66"/>
      <c r="E39" s="66"/>
      <c r="F39" s="66"/>
      <c r="G39" s="66"/>
      <c r="H39" s="66"/>
      <c r="I39" s="66"/>
      <c r="J39" s="86"/>
      <c r="K39" s="88"/>
      <c r="L39" s="66"/>
    </row>
    <row r="40" spans="1:12" x14ac:dyDescent="0.25">
      <c r="A40" s="71">
        <v>46090</v>
      </c>
      <c r="B40" s="66" t="s">
        <v>579</v>
      </c>
      <c r="C40" s="74"/>
      <c r="D40" s="66"/>
      <c r="E40" s="66"/>
      <c r="F40" s="66"/>
      <c r="G40" s="66"/>
      <c r="H40" s="66"/>
      <c r="I40" s="66"/>
      <c r="J40" s="70"/>
      <c r="K40" s="88"/>
      <c r="L40" s="66"/>
    </row>
    <row r="41" spans="1:12" x14ac:dyDescent="0.25">
      <c r="A41" s="71">
        <v>46089</v>
      </c>
      <c r="B41" s="66" t="s">
        <v>570</v>
      </c>
      <c r="C41" s="74"/>
      <c r="D41" s="66"/>
      <c r="E41" s="66"/>
      <c r="F41" s="66"/>
      <c r="G41" s="66"/>
      <c r="H41" s="66"/>
      <c r="I41" s="66"/>
      <c r="J41" s="70"/>
      <c r="K41" s="88"/>
      <c r="L41" s="66"/>
    </row>
    <row r="42" spans="1:12" x14ac:dyDescent="0.25">
      <c r="A42" s="71">
        <v>46089</v>
      </c>
      <c r="B42" s="66" t="s">
        <v>569</v>
      </c>
      <c r="C42" s="74"/>
      <c r="D42" s="66"/>
      <c r="E42" s="66"/>
      <c r="F42" s="66"/>
      <c r="G42" s="66"/>
      <c r="H42" s="66"/>
      <c r="I42" s="66"/>
      <c r="J42" s="70"/>
      <c r="K42" s="88"/>
      <c r="L42" s="6"/>
    </row>
    <row r="43" spans="1:12" x14ac:dyDescent="0.25">
      <c r="A43" s="71">
        <v>46088</v>
      </c>
      <c r="B43" s="66" t="s">
        <v>566</v>
      </c>
      <c r="C43" s="74"/>
      <c r="D43" s="66"/>
      <c r="E43" s="66"/>
      <c r="F43" s="66"/>
      <c r="G43" s="66"/>
      <c r="H43" s="66"/>
      <c r="I43" s="66"/>
      <c r="J43" s="70"/>
      <c r="K43" s="88"/>
      <c r="L43" s="66"/>
    </row>
    <row r="44" spans="1:12" x14ac:dyDescent="0.25">
      <c r="A44" s="71">
        <v>46088</v>
      </c>
      <c r="B44" s="66" t="s">
        <v>568</v>
      </c>
      <c r="C44" s="74"/>
      <c r="D44" s="66"/>
      <c r="E44" s="66"/>
      <c r="F44" s="66"/>
      <c r="G44" s="66"/>
      <c r="H44" s="66"/>
      <c r="I44" s="66"/>
      <c r="J44" s="70"/>
      <c r="K44" s="88"/>
      <c r="L44" s="66"/>
    </row>
    <row r="45" spans="1:12" x14ac:dyDescent="0.25">
      <c r="A45" s="71">
        <v>46088</v>
      </c>
      <c r="B45" s="76" t="s">
        <v>545</v>
      </c>
      <c r="C45" s="85"/>
      <c r="D45" s="66"/>
      <c r="E45" s="66"/>
      <c r="F45" s="66"/>
      <c r="G45" s="66"/>
      <c r="H45" s="66"/>
      <c r="I45" s="66"/>
      <c r="J45" s="70"/>
      <c r="K45" s="88"/>
      <c r="L45" s="76"/>
    </row>
    <row r="46" spans="1:12" x14ac:dyDescent="0.25">
      <c r="A46" s="71">
        <v>46087</v>
      </c>
      <c r="B46" s="66" t="s">
        <v>559</v>
      </c>
      <c r="C46" s="74"/>
      <c r="D46" s="66"/>
      <c r="E46" s="66"/>
      <c r="F46" s="66"/>
      <c r="G46" s="66"/>
      <c r="H46" s="66"/>
      <c r="I46" s="66"/>
      <c r="J46" s="70"/>
      <c r="K46" s="88"/>
      <c r="L46" s="66"/>
    </row>
    <row r="47" spans="1:12" x14ac:dyDescent="0.25">
      <c r="A47" s="68">
        <v>46087</v>
      </c>
      <c r="B47" s="6" t="s">
        <v>564</v>
      </c>
      <c r="C47" s="77"/>
      <c r="J47" s="70"/>
      <c r="K47" s="79"/>
      <c r="L47" s="95"/>
    </row>
    <row r="48" spans="1:12" x14ac:dyDescent="0.25">
      <c r="A48" s="68">
        <v>46086</v>
      </c>
      <c r="B48" s="66" t="s">
        <v>558</v>
      </c>
      <c r="C48" s="74"/>
      <c r="D48" s="66"/>
      <c r="E48" s="66"/>
      <c r="F48" s="66"/>
      <c r="G48" s="66"/>
      <c r="H48" s="66"/>
      <c r="I48" s="66"/>
      <c r="J48" s="70"/>
      <c r="K48" s="88"/>
      <c r="L48" s="66"/>
    </row>
    <row r="49" spans="1:16" x14ac:dyDescent="0.25">
      <c r="A49" s="71">
        <v>46086</v>
      </c>
      <c r="B49" s="66" t="s">
        <v>554</v>
      </c>
      <c r="C49" s="74"/>
      <c r="D49" s="66"/>
      <c r="E49" s="66"/>
      <c r="F49" s="66"/>
      <c r="G49" s="66"/>
      <c r="H49" s="66"/>
      <c r="I49" s="66"/>
      <c r="J49" s="70"/>
      <c r="K49" s="88"/>
      <c r="L49" s="66"/>
    </row>
    <row r="50" spans="1:16" x14ac:dyDescent="0.25">
      <c r="A50" s="71">
        <v>46086</v>
      </c>
      <c r="B50" s="76" t="s">
        <v>561</v>
      </c>
      <c r="C50" s="85"/>
      <c r="D50" s="66"/>
      <c r="E50" s="66"/>
      <c r="F50" s="66"/>
      <c r="G50" s="66"/>
      <c r="H50" s="66"/>
      <c r="I50" s="66"/>
      <c r="J50" s="70"/>
      <c r="K50" s="88"/>
      <c r="L50" s="66"/>
    </row>
    <row r="51" spans="1:16" s="20" customFormat="1" x14ac:dyDescent="0.25">
      <c r="A51" s="71">
        <v>46086</v>
      </c>
      <c r="B51" s="66" t="s">
        <v>553</v>
      </c>
      <c r="C51" s="74"/>
      <c r="D51" s="66"/>
      <c r="E51" s="66"/>
      <c r="F51" s="66"/>
      <c r="G51" s="66"/>
      <c r="H51" s="66"/>
      <c r="I51" s="66"/>
      <c r="J51" s="70"/>
      <c r="K51" s="88"/>
      <c r="L51" s="66"/>
      <c r="P51" s="6"/>
    </row>
    <row r="52" spans="1:16" x14ac:dyDescent="0.25">
      <c r="A52" s="71">
        <v>46086</v>
      </c>
      <c r="B52" s="66" t="s">
        <v>556</v>
      </c>
      <c r="C52" s="74"/>
      <c r="D52" s="66"/>
      <c r="E52" s="66"/>
      <c r="F52" s="66"/>
      <c r="G52" s="66"/>
      <c r="H52" s="66"/>
      <c r="I52" s="66"/>
      <c r="J52" s="76"/>
      <c r="K52" s="88"/>
      <c r="L52" s="90"/>
    </row>
    <row r="53" spans="1:16" x14ac:dyDescent="0.25">
      <c r="A53" s="71">
        <v>46085</v>
      </c>
      <c r="B53" s="66" t="s">
        <v>547</v>
      </c>
      <c r="C53" s="74"/>
      <c r="D53" s="66"/>
      <c r="E53" s="66"/>
      <c r="F53" s="66"/>
      <c r="G53" s="66"/>
      <c r="H53" s="66"/>
      <c r="I53" s="66"/>
      <c r="J53" s="85"/>
      <c r="K53" s="88"/>
      <c r="L53" s="90"/>
    </row>
    <row r="54" spans="1:16" x14ac:dyDescent="0.25">
      <c r="A54" s="71">
        <v>46085</v>
      </c>
      <c r="B54" s="66" t="s">
        <v>550</v>
      </c>
      <c r="C54" s="74"/>
      <c r="D54" s="66"/>
      <c r="E54" s="66"/>
      <c r="F54" s="66"/>
      <c r="G54" s="66"/>
      <c r="H54" s="66"/>
      <c r="I54" s="66"/>
      <c r="J54" s="76"/>
      <c r="K54" s="88"/>
      <c r="L54" s="90"/>
    </row>
    <row r="55" spans="1:16" x14ac:dyDescent="0.25">
      <c r="A55" s="71">
        <v>46085</v>
      </c>
      <c r="B55" s="66" t="s">
        <v>548</v>
      </c>
      <c r="C55" s="74"/>
      <c r="D55" s="66"/>
      <c r="E55" s="66"/>
      <c r="F55" s="66"/>
      <c r="G55" s="66"/>
      <c r="H55" s="66"/>
      <c r="I55" s="66"/>
      <c r="J55" s="76"/>
      <c r="K55" s="88"/>
      <c r="L55" s="90"/>
    </row>
    <row r="56" spans="1:16" x14ac:dyDescent="0.25">
      <c r="A56" s="71">
        <v>46083</v>
      </c>
      <c r="B56" s="66" t="s">
        <v>552</v>
      </c>
      <c r="C56" s="74"/>
      <c r="D56" s="66"/>
      <c r="E56" s="66"/>
      <c r="F56" s="66"/>
      <c r="G56" s="66"/>
      <c r="H56" s="66"/>
      <c r="I56" s="66"/>
      <c r="J56" s="76"/>
      <c r="K56" s="88"/>
      <c r="L56" s="90"/>
    </row>
    <row r="57" spans="1:16" x14ac:dyDescent="0.25">
      <c r="A57" s="71">
        <v>46083</v>
      </c>
      <c r="B57" s="66" t="s">
        <v>333</v>
      </c>
      <c r="C57" s="74"/>
      <c r="D57" s="66"/>
      <c r="E57" s="66"/>
      <c r="F57" s="66"/>
      <c r="G57" s="66"/>
      <c r="H57" s="66"/>
      <c r="I57" s="66"/>
      <c r="J57" s="76"/>
      <c r="K57" s="88"/>
      <c r="L57" s="90"/>
    </row>
    <row r="58" spans="1:16" x14ac:dyDescent="0.25">
      <c r="A58" s="71">
        <v>46083</v>
      </c>
      <c r="B58" s="66" t="s">
        <v>551</v>
      </c>
      <c r="C58" s="74"/>
      <c r="D58" s="66"/>
      <c r="E58" s="66"/>
      <c r="F58" s="66"/>
      <c r="G58" s="66"/>
      <c r="H58" s="66"/>
      <c r="I58" s="66"/>
      <c r="J58" s="76"/>
      <c r="K58" s="88"/>
      <c r="L58" s="90"/>
    </row>
    <row r="59" spans="1:16" x14ac:dyDescent="0.25">
      <c r="A59" s="71">
        <v>46036</v>
      </c>
      <c r="B59" s="66" t="s">
        <v>555</v>
      </c>
      <c r="C59" s="74"/>
      <c r="D59" s="66"/>
      <c r="E59" s="66"/>
      <c r="F59" s="66"/>
      <c r="G59" s="66"/>
      <c r="H59" s="66"/>
      <c r="I59" s="66"/>
      <c r="J59" s="76"/>
      <c r="K59" s="88"/>
      <c r="L59" s="90"/>
    </row>
    <row r="60" spans="1:16" x14ac:dyDescent="0.25">
      <c r="A60" s="71">
        <v>46094</v>
      </c>
      <c r="B60" s="65" t="s">
        <v>591</v>
      </c>
      <c r="C60" s="75"/>
      <c r="D60" s="66"/>
      <c r="E60" s="66"/>
      <c r="F60" s="66"/>
      <c r="G60" s="66"/>
      <c r="H60" s="66"/>
      <c r="I60" s="66"/>
      <c r="J60" s="76"/>
      <c r="K60" s="88"/>
      <c r="L60" s="90"/>
    </row>
    <row r="61" spans="1:16" x14ac:dyDescent="0.25">
      <c r="A61" s="71">
        <v>46096</v>
      </c>
      <c r="B61" s="66" t="s">
        <v>592</v>
      </c>
      <c r="C61" s="74"/>
      <c r="D61" s="66"/>
      <c r="E61" s="66"/>
      <c r="F61" s="66"/>
      <c r="G61" s="66"/>
      <c r="H61" s="66"/>
      <c r="I61" s="66"/>
      <c r="J61" s="76"/>
      <c r="K61" s="88"/>
      <c r="L61" s="90"/>
    </row>
    <row r="62" spans="1:16" x14ac:dyDescent="0.25">
      <c r="A62" s="71">
        <v>46097</v>
      </c>
      <c r="B62" s="99" t="s">
        <v>594</v>
      </c>
      <c r="C62" s="74"/>
      <c r="D62" s="66"/>
      <c r="E62" s="66"/>
      <c r="F62" s="66"/>
      <c r="G62" s="66"/>
      <c r="H62" s="66"/>
      <c r="I62" s="66"/>
      <c r="J62" s="76"/>
      <c r="K62" s="88"/>
      <c r="L62" s="90"/>
    </row>
    <row r="63" spans="1:16" ht="15.75" x14ac:dyDescent="0.25">
      <c r="A63" s="30"/>
      <c r="B63" s="6"/>
      <c r="C63" s="77"/>
      <c r="D63" s="31"/>
      <c r="E63" s="31"/>
      <c r="F63" s="31"/>
      <c r="G63" s="31"/>
      <c r="H63" s="31"/>
      <c r="I63" s="31"/>
      <c r="J63" s="6"/>
      <c r="K63" s="6"/>
      <c r="L63" s="6"/>
    </row>
    <row r="64" spans="1:16" ht="15.75" x14ac:dyDescent="0.25">
      <c r="A64" s="30"/>
      <c r="B64" s="6"/>
      <c r="C64" s="77"/>
      <c r="D64" s="31"/>
      <c r="E64" s="31"/>
      <c r="F64" s="31"/>
      <c r="G64" s="31"/>
      <c r="H64" s="31"/>
      <c r="I64" s="31"/>
      <c r="J64" s="6"/>
      <c r="K64" s="6"/>
      <c r="L64" s="6"/>
    </row>
    <row r="65" spans="1:12" ht="15.75" x14ac:dyDescent="0.25">
      <c r="A65" s="30"/>
      <c r="B65" s="6"/>
      <c r="C65" s="77"/>
      <c r="D65" s="31"/>
      <c r="E65" s="31"/>
      <c r="F65" s="31"/>
      <c r="G65" s="31"/>
      <c r="H65" s="31"/>
      <c r="I65" s="31"/>
      <c r="J65" s="6"/>
      <c r="K65" s="6"/>
      <c r="L65" s="6"/>
    </row>
    <row r="66" spans="1:12" ht="15.75" x14ac:dyDescent="0.25">
      <c r="A66" s="30"/>
      <c r="B66" s="6"/>
      <c r="C66" s="77"/>
      <c r="D66" s="31"/>
      <c r="E66" s="31"/>
      <c r="F66" s="31"/>
      <c r="G66" s="31"/>
      <c r="H66" s="31"/>
      <c r="I66" s="31"/>
      <c r="J66" s="6"/>
      <c r="K66" s="6"/>
      <c r="L66" s="6"/>
    </row>
    <row r="67" spans="1:12" x14ac:dyDescent="0.25">
      <c r="A67" s="30"/>
      <c r="B67" s="6"/>
      <c r="C67" s="77"/>
      <c r="J67" s="6"/>
      <c r="K67" s="6"/>
      <c r="L67" s="6"/>
    </row>
  </sheetData>
  <sortState xmlns:xlrd2="http://schemas.microsoft.com/office/spreadsheetml/2017/richdata2" ref="A5:L42">
    <sortCondition sortBy="cellColor" ref="A5:A42" dxfId="18"/>
  </sortState>
  <phoneticPr fontId="1" type="noConversion"/>
  <pageMargins left="0.75" right="0.75" top="1" bottom="1" header="0.5" footer="0.5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5286-77AB-456D-90B8-2B59B042EA14}">
  <dimension ref="A1:H15"/>
  <sheetViews>
    <sheetView workbookViewId="0">
      <selection activeCell="A13" sqref="A13"/>
    </sheetView>
  </sheetViews>
  <sheetFormatPr defaultRowHeight="15" x14ac:dyDescent="0.25"/>
  <cols>
    <col min="1" max="1" width="39.28515625" customWidth="1"/>
    <col min="2" max="2" width="31.140625" customWidth="1"/>
    <col min="3" max="4" width="8.28515625" customWidth="1"/>
    <col min="6" max="6" width="26.7109375" customWidth="1"/>
    <col min="7" max="7" width="9.7109375" customWidth="1"/>
    <col min="8" max="8" width="12.5703125" customWidth="1"/>
  </cols>
  <sheetData>
    <row r="1" spans="1:8" s="9" customFormat="1" ht="21.75" thickBot="1" x14ac:dyDescent="0.4">
      <c r="A1" s="33" t="s">
        <v>331</v>
      </c>
      <c r="B1"/>
      <c r="F1" s="8" t="s">
        <v>320</v>
      </c>
      <c r="G1" s="8" t="s">
        <v>307</v>
      </c>
      <c r="H1" s="8" t="s">
        <v>317</v>
      </c>
    </row>
    <row r="2" spans="1:8" ht="21" x14ac:dyDescent="0.35">
      <c r="A2" s="34" t="s">
        <v>319</v>
      </c>
      <c r="F2" s="2">
        <f>SUM('M Rici vend '!J2:J1000)</f>
        <v>0</v>
      </c>
      <c r="G2" s="32">
        <f>SUM('M Rici vend '!H2:H1000)</f>
        <v>0</v>
      </c>
      <c r="H2" s="32">
        <f>SUM(F2-G2)</f>
        <v>0</v>
      </c>
    </row>
    <row r="3" spans="1:8" ht="16.5" thickBot="1" x14ac:dyDescent="0.3">
      <c r="A3" s="35">
        <f>SUM('Resumo '!A2)</f>
        <v>0</v>
      </c>
    </row>
    <row r="4" spans="1:8" ht="15.75" thickBot="1" x14ac:dyDescent="0.3"/>
    <row r="5" spans="1:8" ht="21" x14ac:dyDescent="0.35">
      <c r="A5" s="39" t="s">
        <v>326</v>
      </c>
    </row>
    <row r="6" spans="1:8" ht="16.5" thickBot="1" x14ac:dyDescent="0.3">
      <c r="A6" s="53">
        <f>SUM('Resumo '!A2:B2)</f>
        <v>0</v>
      </c>
    </row>
    <row r="7" spans="1:8" ht="15.75" thickBot="1" x14ac:dyDescent="0.3"/>
    <row r="8" spans="1:8" ht="21" x14ac:dyDescent="0.35">
      <c r="A8" s="40" t="s">
        <v>330</v>
      </c>
    </row>
    <row r="9" spans="1:8" ht="16.5" thickBot="1" x14ac:dyDescent="0.3">
      <c r="A9" s="54">
        <f>SUM('Resumo '!B2)</f>
        <v>0</v>
      </c>
    </row>
    <row r="10" spans="1:8" ht="15.75" thickBot="1" x14ac:dyDescent="0.3"/>
    <row r="11" spans="1:8" ht="21" x14ac:dyDescent="0.35">
      <c r="A11" s="41" t="s">
        <v>327</v>
      </c>
    </row>
    <row r="12" spans="1:8" ht="21.75" thickBot="1" x14ac:dyDescent="0.4">
      <c r="A12" s="42"/>
    </row>
    <row r="13" spans="1:8" ht="15.75" thickBot="1" x14ac:dyDescent="0.3"/>
    <row r="14" spans="1:8" ht="21" x14ac:dyDescent="0.35">
      <c r="A14" s="43" t="s">
        <v>328</v>
      </c>
    </row>
    <row r="15" spans="1:8" ht="21.75" thickBot="1" x14ac:dyDescent="0.4">
      <c r="A15" s="44">
        <f xml:space="preserve"> SUM(A12-F2)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CB2C-D742-4CAE-AF32-C6A48C5D764D}">
  <dimension ref="A1:O28"/>
  <sheetViews>
    <sheetView zoomScaleNormal="100" workbookViewId="0">
      <selection activeCell="A2" sqref="A2:K12"/>
    </sheetView>
  </sheetViews>
  <sheetFormatPr defaultRowHeight="15" x14ac:dyDescent="0.25"/>
  <cols>
    <col min="1" max="1" width="11.5703125" style="6" customWidth="1"/>
    <col min="2" max="2" width="19.42578125" style="19" customWidth="1"/>
    <col min="3" max="3" width="14.85546875" style="4" customWidth="1"/>
    <col min="4" max="4" width="15" style="4" customWidth="1"/>
    <col min="5" max="5" width="13.140625" style="19" customWidth="1"/>
    <col min="6" max="6" width="12.140625" style="19" customWidth="1"/>
    <col min="7" max="8" width="14.5703125" style="4" customWidth="1"/>
    <col min="9" max="9" width="11.7109375" style="4" customWidth="1"/>
    <col min="10" max="10" width="10.7109375" style="4" customWidth="1"/>
    <col min="11" max="11" width="14.42578125" style="4" customWidth="1"/>
    <col min="12" max="12" width="5.42578125" style="4" customWidth="1"/>
    <col min="13" max="13" width="10.85546875" style="4" customWidth="1"/>
    <col min="14" max="14" width="11.28515625" style="4" customWidth="1"/>
    <col min="15" max="15" width="9.140625" style="4"/>
    <col min="16" max="16" width="9.140625" style="3" customWidth="1"/>
    <col min="17" max="16384" width="9.140625" style="3"/>
  </cols>
  <sheetData>
    <row r="1" spans="1:11" s="5" customFormat="1" ht="18.75" x14ac:dyDescent="0.3">
      <c r="A1" s="38" t="s">
        <v>283</v>
      </c>
      <c r="B1" s="23" t="s">
        <v>284</v>
      </c>
      <c r="C1" s="5" t="s">
        <v>306</v>
      </c>
      <c r="D1" s="5" t="s">
        <v>285</v>
      </c>
      <c r="E1" s="23" t="s">
        <v>286</v>
      </c>
      <c r="F1" s="23"/>
      <c r="G1" s="5" t="s">
        <v>294</v>
      </c>
      <c r="H1" s="5" t="s">
        <v>307</v>
      </c>
      <c r="I1" s="5" t="s">
        <v>287</v>
      </c>
      <c r="J1" s="5" t="s">
        <v>308</v>
      </c>
      <c r="K1" s="5" t="s">
        <v>288</v>
      </c>
    </row>
    <row r="2" spans="1:11" x14ac:dyDescent="0.25">
      <c r="A2" s="14"/>
      <c r="B2" s="18"/>
      <c r="C2" s="6"/>
      <c r="D2" s="6"/>
      <c r="E2" s="18"/>
      <c r="F2" s="18"/>
      <c r="G2" s="6"/>
      <c r="H2" s="6"/>
      <c r="I2" s="6"/>
      <c r="J2" s="6"/>
      <c r="K2" s="6"/>
    </row>
    <row r="3" spans="1:11" ht="14.25" customHeight="1" x14ac:dyDescent="0.25">
      <c r="A3" s="14"/>
      <c r="B3" s="18"/>
      <c r="C3" s="6"/>
      <c r="D3" s="6"/>
      <c r="E3" s="18"/>
      <c r="F3" s="18"/>
      <c r="G3" s="6"/>
      <c r="H3" s="6"/>
      <c r="I3" s="6"/>
      <c r="J3" s="6"/>
      <c r="K3" s="6"/>
    </row>
    <row r="4" spans="1:11" x14ac:dyDescent="0.25">
      <c r="A4" s="14"/>
      <c r="B4" s="18"/>
      <c r="C4" s="14"/>
      <c r="D4" s="6"/>
      <c r="E4" s="18"/>
      <c r="F4" s="18"/>
      <c r="G4" s="6"/>
      <c r="H4" s="6"/>
      <c r="I4" s="6"/>
      <c r="J4" s="6"/>
      <c r="K4" s="6"/>
    </row>
    <row r="5" spans="1:11" x14ac:dyDescent="0.25">
      <c r="A5" s="14"/>
      <c r="B5" s="18"/>
      <c r="C5" s="6"/>
      <c r="D5" s="6"/>
      <c r="E5" s="18"/>
      <c r="F5" s="18"/>
      <c r="G5" s="6"/>
      <c r="H5" s="6"/>
      <c r="I5" s="6"/>
      <c r="J5" s="6"/>
      <c r="K5" s="6"/>
    </row>
    <row r="6" spans="1:11" x14ac:dyDescent="0.25">
      <c r="A6" s="14"/>
      <c r="B6" s="18"/>
      <c r="C6" s="6"/>
      <c r="D6" s="6"/>
      <c r="E6" s="18"/>
      <c r="F6" s="18"/>
      <c r="G6" s="6"/>
      <c r="H6" s="6"/>
      <c r="I6" s="6"/>
      <c r="J6" s="6"/>
      <c r="K6" s="6"/>
    </row>
    <row r="7" spans="1:11" x14ac:dyDescent="0.25">
      <c r="A7" s="14"/>
      <c r="B7" s="109"/>
      <c r="C7" s="6"/>
      <c r="D7" s="6"/>
      <c r="E7" s="18"/>
      <c r="F7" s="18"/>
      <c r="G7" s="6"/>
      <c r="H7" s="6"/>
      <c r="I7" s="6"/>
      <c r="J7" s="6"/>
      <c r="K7" s="6"/>
    </row>
    <row r="8" spans="1:11" x14ac:dyDescent="0.25">
      <c r="A8" s="14"/>
      <c r="B8" s="18"/>
      <c r="C8" s="6"/>
      <c r="D8" s="6"/>
      <c r="E8" s="20"/>
      <c r="F8" s="18"/>
      <c r="G8" s="6"/>
      <c r="H8" s="6"/>
      <c r="I8" s="6"/>
      <c r="J8" s="6"/>
      <c r="K8" s="6"/>
    </row>
    <row r="9" spans="1:11" x14ac:dyDescent="0.25">
      <c r="A9" s="14"/>
      <c r="B9" s="18"/>
      <c r="C9" s="14"/>
      <c r="D9" s="6"/>
      <c r="E9" s="18"/>
      <c r="F9" s="18"/>
      <c r="G9" s="6"/>
      <c r="H9" s="6"/>
      <c r="I9" s="6"/>
      <c r="J9" s="6"/>
      <c r="K9" s="6"/>
    </row>
    <row r="10" spans="1:11" x14ac:dyDescent="0.25">
      <c r="A10" s="14"/>
      <c r="B10" s="18"/>
      <c r="C10" s="14"/>
      <c r="D10" s="6"/>
      <c r="E10" s="18"/>
      <c r="F10" s="18"/>
      <c r="G10" s="6"/>
      <c r="H10" s="6"/>
      <c r="I10" s="6"/>
      <c r="J10" s="6"/>
      <c r="K10" s="6"/>
    </row>
    <row r="11" spans="1:11" x14ac:dyDescent="0.25">
      <c r="A11" s="14"/>
      <c r="B11" s="18"/>
      <c r="C11" s="6"/>
      <c r="D11" s="6"/>
      <c r="E11" s="18"/>
      <c r="F11" s="18"/>
      <c r="G11" s="6"/>
      <c r="H11" s="6"/>
      <c r="I11" s="6"/>
      <c r="J11" s="6"/>
      <c r="K11" s="6"/>
    </row>
    <row r="12" spans="1:11" x14ac:dyDescent="0.25">
      <c r="A12" s="14"/>
      <c r="B12" s="18"/>
      <c r="C12" s="6"/>
      <c r="D12" s="6"/>
      <c r="E12" s="18"/>
      <c r="F12" s="18"/>
      <c r="G12" s="6"/>
      <c r="H12" s="6"/>
      <c r="I12" s="6"/>
      <c r="J12" s="6"/>
      <c r="K12" s="6"/>
    </row>
    <row r="13" spans="1:11" x14ac:dyDescent="0.25">
      <c r="A13" s="14"/>
      <c r="B13" s="18"/>
      <c r="C13" s="6"/>
      <c r="D13" s="6"/>
      <c r="E13" s="18"/>
      <c r="F13" s="18"/>
      <c r="G13" s="6"/>
      <c r="H13" s="6"/>
      <c r="I13" s="6"/>
      <c r="J13" s="6"/>
    </row>
    <row r="14" spans="1:11" x14ac:dyDescent="0.25">
      <c r="A14" s="14"/>
      <c r="B14" s="18"/>
      <c r="C14" s="6"/>
      <c r="D14" s="6"/>
      <c r="E14" s="18"/>
      <c r="F14" s="18"/>
      <c r="G14" s="6"/>
      <c r="H14" s="6"/>
      <c r="I14" s="6"/>
      <c r="J14" s="6"/>
    </row>
    <row r="15" spans="1:11" x14ac:dyDescent="0.25">
      <c r="A15" s="14"/>
      <c r="B15" s="18"/>
      <c r="C15" s="6"/>
      <c r="D15" s="6"/>
      <c r="E15" s="18"/>
      <c r="F15" s="18"/>
      <c r="G15" s="6"/>
      <c r="H15" s="6"/>
      <c r="I15" s="6"/>
      <c r="J15" s="6"/>
    </row>
    <row r="16" spans="1:11" x14ac:dyDescent="0.25">
      <c r="A16" s="14"/>
      <c r="B16" s="18"/>
      <c r="C16" s="6"/>
      <c r="D16" s="6"/>
      <c r="E16" s="18"/>
      <c r="F16" s="18"/>
      <c r="G16" s="6"/>
      <c r="H16" s="6"/>
      <c r="I16" s="6"/>
      <c r="J16" s="6"/>
    </row>
    <row r="17" spans="1:10" x14ac:dyDescent="0.25">
      <c r="A17" s="14"/>
      <c r="B17" s="18"/>
      <c r="C17" s="6"/>
      <c r="D17" s="6"/>
      <c r="E17" s="18"/>
      <c r="F17" s="18"/>
      <c r="G17" s="6"/>
      <c r="H17" s="6"/>
      <c r="I17" s="6"/>
      <c r="J17" s="6"/>
    </row>
    <row r="18" spans="1:10" x14ac:dyDescent="0.25">
      <c r="A18" s="14"/>
      <c r="B18" s="18"/>
      <c r="C18" s="6"/>
      <c r="D18" s="6"/>
      <c r="E18" s="18"/>
      <c r="F18" s="18"/>
      <c r="G18" s="6"/>
      <c r="H18" s="6"/>
      <c r="I18" s="6"/>
      <c r="J18" s="6"/>
    </row>
    <row r="19" spans="1:10" x14ac:dyDescent="0.25">
      <c r="A19" s="14"/>
      <c r="B19" s="18"/>
      <c r="C19" s="6"/>
      <c r="D19" s="6"/>
      <c r="E19" s="18"/>
      <c r="F19" s="18"/>
      <c r="G19" s="6"/>
      <c r="H19" s="6"/>
      <c r="I19" s="6"/>
      <c r="J19" s="6"/>
    </row>
    <row r="20" spans="1:10" x14ac:dyDescent="0.25">
      <c r="A20" s="14"/>
      <c r="B20" s="18"/>
      <c r="C20" s="6"/>
      <c r="D20" s="6"/>
      <c r="E20" s="18"/>
      <c r="F20" s="18"/>
      <c r="G20" s="6"/>
      <c r="H20" s="6"/>
      <c r="I20" s="6"/>
      <c r="J20" s="6"/>
    </row>
    <row r="21" spans="1:10" x14ac:dyDescent="0.25">
      <c r="A21" s="14"/>
      <c r="B21" s="18"/>
      <c r="C21" s="6"/>
      <c r="D21" s="6"/>
      <c r="E21" s="18"/>
      <c r="F21" s="18"/>
      <c r="G21" s="6"/>
      <c r="H21" s="6"/>
      <c r="I21" s="6"/>
      <c r="J21" s="6"/>
    </row>
    <row r="22" spans="1:10" x14ac:dyDescent="0.25">
      <c r="A22" s="14"/>
      <c r="B22" s="18"/>
      <c r="C22" s="6"/>
      <c r="D22" s="6"/>
      <c r="E22" s="18"/>
      <c r="F22" s="18"/>
      <c r="G22" s="6"/>
      <c r="H22" s="6"/>
      <c r="I22" s="6"/>
      <c r="J22" s="6"/>
    </row>
    <row r="23" spans="1:10" x14ac:dyDescent="0.25">
      <c r="A23" s="14"/>
      <c r="B23" s="18"/>
      <c r="C23" s="6"/>
      <c r="D23" s="6"/>
      <c r="E23" s="18"/>
      <c r="F23" s="18"/>
      <c r="G23" s="6"/>
      <c r="H23" s="6"/>
      <c r="I23" s="6"/>
      <c r="J23" s="6"/>
    </row>
    <row r="24" spans="1:10" x14ac:dyDescent="0.25">
      <c r="A24" s="14"/>
      <c r="B24" s="18"/>
      <c r="C24" s="6"/>
      <c r="D24" s="6"/>
      <c r="E24" s="18"/>
      <c r="F24" s="18"/>
      <c r="G24" s="6"/>
      <c r="H24" s="6"/>
      <c r="I24" s="6"/>
      <c r="J24" s="6"/>
    </row>
    <row r="25" spans="1:10" x14ac:dyDescent="0.25">
      <c r="A25" s="14"/>
      <c r="B25" s="18"/>
      <c r="C25" s="6"/>
      <c r="D25" s="6"/>
      <c r="E25" s="18"/>
      <c r="F25" s="18"/>
      <c r="G25" s="6"/>
      <c r="H25" s="6"/>
      <c r="I25" s="6"/>
      <c r="J25" s="6"/>
    </row>
    <row r="26" spans="1:10" x14ac:dyDescent="0.25">
      <c r="A26" s="14"/>
      <c r="B26" s="18"/>
      <c r="C26" s="6"/>
      <c r="D26" s="6"/>
      <c r="E26" s="18"/>
      <c r="F26" s="6"/>
      <c r="G26" s="6"/>
      <c r="H26" s="6"/>
      <c r="I26" s="6"/>
      <c r="J26" s="6"/>
    </row>
    <row r="27" spans="1:10" x14ac:dyDescent="0.25">
      <c r="A27" s="14"/>
      <c r="B27" s="18"/>
      <c r="C27" s="6"/>
      <c r="D27" s="6"/>
      <c r="E27" s="18"/>
      <c r="F27" s="6"/>
      <c r="G27" s="6"/>
      <c r="H27" s="6"/>
      <c r="I27" s="6"/>
      <c r="J27" s="6"/>
    </row>
    <row r="28" spans="1:10" x14ac:dyDescent="0.25">
      <c r="A28" s="14"/>
      <c r="B28" s="18"/>
      <c r="C28" s="6"/>
      <c r="D28" s="6"/>
      <c r="E28" s="18"/>
      <c r="F28" s="18"/>
      <c r="G28" s="6"/>
      <c r="H28" s="6"/>
      <c r="I28" s="6"/>
      <c r="J28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Esto</vt:lpstr>
      <vt:lpstr>Vm</vt:lpstr>
      <vt:lpstr>Resumo </vt:lpstr>
      <vt:lpstr>Fin</vt:lpstr>
      <vt:lpstr>M Rici vend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cp:lastPrinted>2026-01-12T18:09:49Z</cp:lastPrinted>
  <dcterms:created xsi:type="dcterms:W3CDTF">2025-12-29T01:19:54Z</dcterms:created>
  <dcterms:modified xsi:type="dcterms:W3CDTF">2026-03-16T14:10:39Z</dcterms:modified>
</cp:coreProperties>
</file>